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7a6ff0c3eb7826/Capacitacion/Diplomatura en Python/TrabajoFinal/"/>
    </mc:Choice>
  </mc:AlternateContent>
  <xr:revisionPtr revIDLastSave="234" documentId="14_{938645A0-4AD1-4793-B876-D03076E6DBCE}" xr6:coauthVersionLast="47" xr6:coauthVersionMax="47" xr10:uidLastSave="{64D0635E-F348-44C7-A4B2-79CAF779AC37}"/>
  <bookViews>
    <workbookView xWindow="-98" yWindow="-98" windowWidth="21795" windowHeight="12975" activeTab="4" xr2:uid="{EFC8F5AD-BC1D-44F4-B143-711EBBB5AA93}"/>
  </bookViews>
  <sheets>
    <sheet name="Hoja1" sheetId="1" r:id="rId1"/>
    <sheet name="Hoja2" sheetId="2" r:id="rId2"/>
    <sheet name="Assets-Vulnera" sheetId="4" r:id="rId3"/>
    <sheet name="Hoja5" sheetId="6" r:id="rId4"/>
    <sheet name="Combinaciones" sheetId="3" r:id="rId5"/>
    <sheet name="Exportados" sheetId="7" r:id="rId6"/>
  </sheets>
  <definedNames>
    <definedName name="_xlnm._FilterDatabase" localSheetId="4" hidden="1">Combinaciones!$B$3:$E$151</definedName>
    <definedName name="_xlnm._FilterDatabase" localSheetId="0" hidden="1">Hoja1!$A$2:$E$72</definedName>
    <definedName name="_xlnm._FilterDatabase" localSheetId="1" hidden="1">Hoja2!$B$2:$B$206</definedName>
  </definedNames>
  <calcPr calcId="191029"/>
  <pivotCaches>
    <pivotCache cacheId="1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98" i="3" l="1"/>
  <c r="H97" i="3"/>
  <c r="J94" i="3"/>
  <c r="H93" i="3"/>
  <c r="J90" i="3"/>
  <c r="H89" i="3"/>
  <c r="J86" i="3"/>
  <c r="H85" i="3"/>
  <c r="J82" i="3"/>
  <c r="H81" i="3"/>
  <c r="J78" i="3"/>
  <c r="H77" i="3"/>
  <c r="J74" i="3"/>
  <c r="H73" i="3"/>
  <c r="J70" i="3"/>
  <c r="H69" i="3"/>
  <c r="J66" i="3"/>
  <c r="H65" i="3"/>
  <c r="J62" i="3"/>
  <c r="H61" i="3"/>
  <c r="J58" i="3"/>
  <c r="H57" i="3"/>
  <c r="J54" i="3"/>
  <c r="H53" i="3"/>
  <c r="J50" i="3"/>
  <c r="H49" i="3"/>
  <c r="J46" i="3"/>
  <c r="H45" i="3"/>
  <c r="J42" i="3"/>
  <c r="H41" i="3"/>
  <c r="J38" i="3"/>
  <c r="H37" i="3"/>
  <c r="J34" i="3"/>
  <c r="H33" i="3"/>
  <c r="J30" i="3"/>
  <c r="H29" i="3"/>
  <c r="J26" i="3"/>
  <c r="H25" i="3"/>
  <c r="J22" i="3"/>
  <c r="H21" i="3"/>
  <c r="J18" i="3"/>
  <c r="H17" i="3"/>
  <c r="J14" i="3"/>
  <c r="H13" i="3"/>
  <c r="J10" i="3"/>
  <c r="H9" i="3"/>
  <c r="L94" i="3"/>
  <c r="L58" i="3"/>
  <c r="L54" i="3"/>
  <c r="L50" i="3"/>
  <c r="L46" i="3"/>
  <c r="L98" i="3"/>
  <c r="L74" i="3"/>
  <c r="L62" i="3"/>
  <c r="L90" i="3"/>
  <c r="L86" i="3"/>
  <c r="L82" i="3"/>
  <c r="L78" i="3"/>
  <c r="L70" i="3"/>
  <c r="L66" i="3"/>
  <c r="H98" i="3"/>
  <c r="J95" i="3"/>
  <c r="H94" i="3"/>
  <c r="J91" i="3"/>
  <c r="H90" i="3"/>
  <c r="J87" i="3"/>
  <c r="H86" i="3"/>
  <c r="J83" i="3"/>
  <c r="H82" i="3"/>
  <c r="J79" i="3"/>
  <c r="H78" i="3"/>
  <c r="J96" i="3"/>
  <c r="H95" i="3"/>
  <c r="J92" i="3"/>
  <c r="H91" i="3"/>
  <c r="J88" i="3"/>
  <c r="H87" i="3"/>
  <c r="J84" i="3"/>
  <c r="H83" i="3"/>
  <c r="J80" i="3"/>
  <c r="H79" i="3"/>
  <c r="L96" i="3"/>
  <c r="L64" i="3"/>
  <c r="L72" i="3"/>
  <c r="L92" i="3"/>
  <c r="L60" i="3"/>
  <c r="L56" i="3"/>
  <c r="L84" i="3"/>
  <c r="L52" i="3"/>
  <c r="L48" i="3"/>
  <c r="L68" i="3"/>
  <c r="L88" i="3"/>
  <c r="L80" i="3"/>
  <c r="L76" i="3"/>
  <c r="J97" i="3"/>
  <c r="L83" i="3"/>
  <c r="J68" i="3"/>
  <c r="H66" i="3"/>
  <c r="H64" i="3"/>
  <c r="J55" i="3"/>
  <c r="J53" i="3"/>
  <c r="L51" i="3"/>
  <c r="L49" i="3"/>
  <c r="L47" i="3"/>
  <c r="L42" i="3"/>
  <c r="L39" i="3"/>
  <c r="L36" i="3"/>
  <c r="L33" i="3"/>
  <c r="H30" i="3"/>
  <c r="H27" i="3"/>
  <c r="H24" i="3"/>
  <c r="J19" i="3"/>
  <c r="J16" i="3"/>
  <c r="J13" i="3"/>
  <c r="L10" i="3"/>
  <c r="L18" i="3"/>
  <c r="H62" i="3"/>
  <c r="L97" i="3"/>
  <c r="J93" i="3"/>
  <c r="L79" i="3"/>
  <c r="J72" i="3"/>
  <c r="H70" i="3"/>
  <c r="H68" i="3"/>
  <c r="J59" i="3"/>
  <c r="J57" i="3"/>
  <c r="L55" i="3"/>
  <c r="L53" i="3"/>
  <c r="H51" i="3"/>
  <c r="H47" i="3"/>
  <c r="J45" i="3"/>
  <c r="H36" i="3"/>
  <c r="H39" i="3"/>
  <c r="H42" i="3"/>
  <c r="J31" i="3"/>
  <c r="J28" i="3"/>
  <c r="J25" i="3"/>
  <c r="L22" i="3"/>
  <c r="L19" i="3"/>
  <c r="L16" i="3"/>
  <c r="L13" i="3"/>
  <c r="H10" i="3"/>
  <c r="L93" i="3"/>
  <c r="J89" i="3"/>
  <c r="J76" i="3"/>
  <c r="H72" i="3"/>
  <c r="H74" i="3"/>
  <c r="J63" i="3"/>
  <c r="J61" i="3"/>
  <c r="L59" i="3"/>
  <c r="L57" i="3"/>
  <c r="H55" i="3"/>
  <c r="L45" i="3"/>
  <c r="J43" i="3"/>
  <c r="J40" i="3"/>
  <c r="J37" i="3"/>
  <c r="L34" i="3"/>
  <c r="L31" i="3"/>
  <c r="L28" i="3"/>
  <c r="L25" i="3"/>
  <c r="H22" i="3"/>
  <c r="H19" i="3"/>
  <c r="H16" i="3"/>
  <c r="J11" i="3"/>
  <c r="J8" i="3"/>
  <c r="L44" i="3"/>
  <c r="H35" i="3"/>
  <c r="J27" i="3"/>
  <c r="L87" i="3"/>
  <c r="L77" i="3"/>
  <c r="H60" i="3"/>
  <c r="L30" i="3"/>
  <c r="L24" i="3"/>
  <c r="H18" i="3"/>
  <c r="H96" i="3"/>
  <c r="H12" i="3"/>
  <c r="L89" i="3"/>
  <c r="J85" i="3"/>
  <c r="H76" i="3"/>
  <c r="J67" i="3"/>
  <c r="J65" i="3"/>
  <c r="L63" i="3"/>
  <c r="L61" i="3"/>
  <c r="H59" i="3"/>
  <c r="J48" i="3"/>
  <c r="L43" i="3"/>
  <c r="L40" i="3"/>
  <c r="L37" i="3"/>
  <c r="H34" i="3"/>
  <c r="H31" i="3"/>
  <c r="H28" i="3"/>
  <c r="J23" i="3"/>
  <c r="J20" i="3"/>
  <c r="J17" i="3"/>
  <c r="L14" i="3"/>
  <c r="L11" i="3"/>
  <c r="L8" i="3"/>
  <c r="J51" i="3"/>
  <c r="H44" i="3"/>
  <c r="J39" i="3"/>
  <c r="J33" i="3"/>
  <c r="H15" i="3"/>
  <c r="H92" i="3"/>
  <c r="L85" i="3"/>
  <c r="J81" i="3"/>
  <c r="J71" i="3"/>
  <c r="J69" i="3"/>
  <c r="L67" i="3"/>
  <c r="L65" i="3"/>
  <c r="H63" i="3"/>
  <c r="J52" i="3"/>
  <c r="H50" i="3"/>
  <c r="H48" i="3"/>
  <c r="H43" i="3"/>
  <c r="H40" i="3"/>
  <c r="J35" i="3"/>
  <c r="J32" i="3"/>
  <c r="J29" i="3"/>
  <c r="L26" i="3"/>
  <c r="L23" i="3"/>
  <c r="L20" i="3"/>
  <c r="L17" i="3"/>
  <c r="H8" i="3"/>
  <c r="H32" i="3"/>
  <c r="H11" i="3"/>
  <c r="H14" i="3"/>
  <c r="J24" i="3"/>
  <c r="L15" i="3"/>
  <c r="L9" i="3"/>
  <c r="H75" i="3"/>
  <c r="J64" i="3"/>
  <c r="J47" i="3"/>
  <c r="J36" i="3"/>
  <c r="L27" i="3"/>
  <c r="L21" i="3"/>
  <c r="L95" i="3"/>
  <c r="H88" i="3"/>
  <c r="L81" i="3"/>
  <c r="J75" i="3"/>
  <c r="J73" i="3"/>
  <c r="L71" i="3"/>
  <c r="L69" i="3"/>
  <c r="H67" i="3"/>
  <c r="J56" i="3"/>
  <c r="H54" i="3"/>
  <c r="H52" i="3"/>
  <c r="H46" i="3"/>
  <c r="J44" i="3"/>
  <c r="J41" i="3"/>
  <c r="L38" i="3"/>
  <c r="L35" i="3"/>
  <c r="L32" i="3"/>
  <c r="L29" i="3"/>
  <c r="H26" i="3"/>
  <c r="H23" i="3"/>
  <c r="H20" i="3"/>
  <c r="J15" i="3"/>
  <c r="J12" i="3"/>
  <c r="J9" i="3"/>
  <c r="L91" i="3"/>
  <c r="H84" i="3"/>
  <c r="J77" i="3"/>
  <c r="L75" i="3"/>
  <c r="L73" i="3"/>
  <c r="H71" i="3"/>
  <c r="J60" i="3"/>
  <c r="H58" i="3"/>
  <c r="H56" i="3"/>
  <c r="L41" i="3"/>
  <c r="H38" i="3"/>
  <c r="J21" i="3"/>
  <c r="L12" i="3"/>
  <c r="H80" i="3"/>
  <c r="J49" i="3"/>
  <c r="L7" i="3"/>
  <c r="J7" i="3"/>
  <c r="H7" i="3"/>
  <c r="C50" i="4"/>
  <c r="G7" i="3" l="1"/>
  <c r="I7" i="3"/>
  <c r="K7" i="3"/>
  <c r="I49" i="3"/>
  <c r="G80" i="3"/>
  <c r="K12" i="3"/>
  <c r="I21" i="3"/>
  <c r="G38" i="3"/>
  <c r="K41" i="3"/>
  <c r="G56" i="3"/>
  <c r="G58" i="3"/>
  <c r="I60" i="3"/>
  <c r="G71" i="3"/>
  <c r="K73" i="3"/>
  <c r="K75" i="3"/>
  <c r="I77" i="3"/>
  <c r="G84" i="3"/>
  <c r="K91" i="3"/>
  <c r="I9" i="3"/>
  <c r="I12" i="3"/>
  <c r="I15" i="3"/>
  <c r="G20" i="3"/>
  <c r="G23" i="3"/>
  <c r="G26" i="3"/>
  <c r="K29" i="3"/>
  <c r="K32" i="3"/>
  <c r="K35" i="3"/>
  <c r="K38" i="3"/>
  <c r="I41" i="3"/>
  <c r="I44" i="3"/>
  <c r="G46" i="3"/>
  <c r="G52" i="3"/>
  <c r="G54" i="3"/>
  <c r="I56" i="3"/>
  <c r="G67" i="3"/>
  <c r="K69" i="3"/>
  <c r="K71" i="3"/>
  <c r="I73" i="3"/>
  <c r="I75" i="3"/>
  <c r="K81" i="3"/>
  <c r="G88" i="3"/>
  <c r="K95" i="3"/>
  <c r="K21" i="3"/>
  <c r="K27" i="3"/>
  <c r="I36" i="3"/>
  <c r="I47" i="3"/>
  <c r="I64" i="3"/>
  <c r="G75" i="3"/>
  <c r="K9" i="3"/>
  <c r="K15" i="3"/>
  <c r="I24" i="3"/>
  <c r="G32" i="3"/>
  <c r="G8" i="3"/>
  <c r="G11" i="3"/>
  <c r="G14" i="3"/>
  <c r="K17" i="3"/>
  <c r="K20" i="3"/>
  <c r="K23" i="3"/>
  <c r="K26" i="3"/>
  <c r="I29" i="3"/>
  <c r="I32" i="3"/>
  <c r="I35" i="3"/>
  <c r="G40" i="3"/>
  <c r="G43" i="3"/>
  <c r="G48" i="3"/>
  <c r="G50" i="3"/>
  <c r="I52" i="3"/>
  <c r="G63" i="3"/>
  <c r="K65" i="3"/>
  <c r="K67" i="3"/>
  <c r="I69" i="3"/>
  <c r="I71" i="3"/>
  <c r="I81" i="3"/>
  <c r="K85" i="3"/>
  <c r="G92" i="3"/>
  <c r="G15" i="3"/>
  <c r="I33" i="3"/>
  <c r="I39" i="3"/>
  <c r="G44" i="3"/>
  <c r="I51" i="3"/>
  <c r="K8" i="3"/>
  <c r="K11" i="3"/>
  <c r="K14" i="3"/>
  <c r="I17" i="3"/>
  <c r="I20" i="3"/>
  <c r="I23" i="3"/>
  <c r="G28" i="3"/>
  <c r="G31" i="3"/>
  <c r="G34" i="3"/>
  <c r="K37" i="3"/>
  <c r="K40" i="3"/>
  <c r="K43" i="3"/>
  <c r="I48" i="3"/>
  <c r="G59" i="3"/>
  <c r="K61" i="3"/>
  <c r="K63" i="3"/>
  <c r="I65" i="3"/>
  <c r="I67" i="3"/>
  <c r="G76" i="3"/>
  <c r="I85" i="3"/>
  <c r="K89" i="3"/>
  <c r="G96" i="3"/>
  <c r="G12" i="3"/>
  <c r="G18" i="3"/>
  <c r="K24" i="3"/>
  <c r="K30" i="3"/>
  <c r="G60" i="3"/>
  <c r="K77" i="3"/>
  <c r="K87" i="3"/>
  <c r="I27" i="3"/>
  <c r="G35" i="3"/>
  <c r="K44" i="3"/>
  <c r="I8" i="3"/>
  <c r="I11" i="3"/>
  <c r="G16" i="3"/>
  <c r="G19" i="3"/>
  <c r="G22" i="3"/>
  <c r="K25" i="3"/>
  <c r="K28" i="3"/>
  <c r="K31" i="3"/>
  <c r="K34" i="3"/>
  <c r="I37" i="3"/>
  <c r="I40" i="3"/>
  <c r="I43" i="3"/>
  <c r="K45" i="3"/>
  <c r="G55" i="3"/>
  <c r="K57" i="3"/>
  <c r="K59" i="3"/>
  <c r="I61" i="3"/>
  <c r="I63" i="3"/>
  <c r="G72" i="3"/>
  <c r="G74" i="3"/>
  <c r="I76" i="3"/>
  <c r="I89" i="3"/>
  <c r="K93" i="3"/>
  <c r="G10" i="3"/>
  <c r="K13" i="3"/>
  <c r="K16" i="3"/>
  <c r="K19" i="3"/>
  <c r="K22" i="3"/>
  <c r="I25" i="3"/>
  <c r="I28" i="3"/>
  <c r="I31" i="3"/>
  <c r="G36" i="3"/>
  <c r="G39" i="3"/>
  <c r="G42" i="3"/>
  <c r="I45" i="3"/>
  <c r="G47" i="3"/>
  <c r="G51" i="3"/>
  <c r="K53" i="3"/>
  <c r="K55" i="3"/>
  <c r="I57" i="3"/>
  <c r="I59" i="3"/>
  <c r="G68" i="3"/>
  <c r="G70" i="3"/>
  <c r="I72" i="3"/>
  <c r="K79" i="3"/>
  <c r="I93" i="3"/>
  <c r="K97" i="3"/>
  <c r="G62" i="3"/>
  <c r="K18" i="3"/>
  <c r="K10" i="3"/>
  <c r="I13" i="3"/>
  <c r="I16" i="3"/>
  <c r="I19" i="3"/>
  <c r="G24" i="3"/>
  <c r="G27" i="3"/>
  <c r="G30" i="3"/>
  <c r="K33" i="3"/>
  <c r="K36" i="3"/>
  <c r="K39" i="3"/>
  <c r="K42" i="3"/>
  <c r="K47" i="3"/>
  <c r="K49" i="3"/>
  <c r="K51" i="3"/>
  <c r="I53" i="3"/>
  <c r="I55" i="3"/>
  <c r="G64" i="3"/>
  <c r="G66" i="3"/>
  <c r="I68" i="3"/>
  <c r="K83" i="3"/>
  <c r="I97" i="3"/>
  <c r="K48" i="3"/>
  <c r="K52" i="3"/>
  <c r="K56" i="3"/>
  <c r="K60" i="3"/>
  <c r="K64" i="3"/>
  <c r="K68" i="3"/>
  <c r="K72" i="3"/>
  <c r="K76" i="3"/>
  <c r="K80" i="3"/>
  <c r="K84" i="3"/>
  <c r="K88" i="3"/>
  <c r="K92" i="3"/>
  <c r="K96" i="3"/>
  <c r="G79" i="3"/>
  <c r="I80" i="3"/>
  <c r="G83" i="3"/>
  <c r="I84" i="3"/>
  <c r="G87" i="3"/>
  <c r="I88" i="3"/>
  <c r="G91" i="3"/>
  <c r="I92" i="3"/>
  <c r="G95" i="3"/>
  <c r="I96" i="3"/>
  <c r="G78" i="3"/>
  <c r="I79" i="3"/>
  <c r="G82" i="3"/>
  <c r="I83" i="3"/>
  <c r="G86" i="3"/>
  <c r="I87" i="3"/>
  <c r="G90" i="3"/>
  <c r="I91" i="3"/>
  <c r="G94" i="3"/>
  <c r="I95" i="3"/>
  <c r="G98" i="3"/>
  <c r="K74" i="3"/>
  <c r="K98" i="3"/>
  <c r="K46" i="3"/>
  <c r="K50" i="3"/>
  <c r="K54" i="3"/>
  <c r="K58" i="3"/>
  <c r="K62" i="3"/>
  <c r="K66" i="3"/>
  <c r="K70" i="3"/>
  <c r="K78" i="3"/>
  <c r="K82" i="3"/>
  <c r="K86" i="3"/>
  <c r="K90" i="3"/>
  <c r="K94" i="3"/>
  <c r="G9" i="3"/>
  <c r="I10" i="3"/>
  <c r="G13" i="3"/>
  <c r="I14" i="3"/>
  <c r="G17" i="3"/>
  <c r="I18" i="3"/>
  <c r="G21" i="3"/>
  <c r="I22" i="3"/>
  <c r="G25" i="3"/>
  <c r="I26" i="3"/>
  <c r="G29" i="3"/>
  <c r="I30" i="3"/>
  <c r="G33" i="3"/>
  <c r="I34" i="3"/>
  <c r="G37" i="3"/>
  <c r="I38" i="3"/>
  <c r="G41" i="3"/>
  <c r="I42" i="3"/>
  <c r="G45" i="3"/>
  <c r="I46" i="3"/>
  <c r="G49" i="3"/>
  <c r="I50" i="3"/>
  <c r="G53" i="3"/>
  <c r="I54" i="3"/>
  <c r="G57" i="3"/>
  <c r="I58" i="3"/>
  <c r="G61" i="3"/>
  <c r="I62" i="3"/>
  <c r="G65" i="3"/>
  <c r="I66" i="3"/>
  <c r="G69" i="3"/>
  <c r="I70" i="3"/>
  <c r="G73" i="3"/>
  <c r="I74" i="3"/>
  <c r="G77" i="3"/>
  <c r="I78" i="3"/>
  <c r="G81" i="3"/>
  <c r="I82" i="3"/>
  <c r="G85" i="3"/>
  <c r="I86" i="3"/>
  <c r="G89" i="3"/>
  <c r="I90" i="3"/>
  <c r="G93" i="3"/>
  <c r="I94" i="3"/>
  <c r="G97" i="3"/>
  <c r="I98" i="3"/>
  <c r="J51" i="4" a="1"/>
  <c r="J51" i="4" s="1"/>
  <c r="F90" i="4" a="1"/>
  <c r="F90" i="4" s="1"/>
  <c r="C64" i="4" a="1"/>
  <c r="C64" i="4" s="1"/>
  <c r="J50" i="4"/>
  <c r="J24" i="4"/>
  <c r="J39" i="4"/>
  <c r="J38" i="4"/>
  <c r="J30" i="4"/>
  <c r="J14" i="4"/>
  <c r="J37" i="4"/>
  <c r="J21" i="4"/>
  <c r="J5" i="4"/>
  <c r="J49" i="4"/>
  <c r="J44" i="4"/>
  <c r="J36" i="4"/>
  <c r="J28" i="4"/>
  <c r="J20" i="4"/>
  <c r="J12" i="4"/>
  <c r="J4" i="4"/>
  <c r="J43" i="4"/>
  <c r="J35" i="4"/>
  <c r="J27" i="4"/>
  <c r="J19" i="4"/>
  <c r="J11" i="4"/>
  <c r="J42" i="4"/>
  <c r="J34" i="4"/>
  <c r="J26" i="4"/>
  <c r="J18" i="4"/>
  <c r="J10" i="4"/>
  <c r="J41" i="4"/>
  <c r="J33" i="4"/>
  <c r="J25" i="4"/>
  <c r="J17" i="4"/>
  <c r="J9" i="4"/>
  <c r="J48" i="4"/>
  <c r="J40" i="4"/>
  <c r="J32" i="4"/>
  <c r="J16" i="4"/>
  <c r="J8" i="4"/>
  <c r="J47" i="4"/>
  <c r="J31" i="4"/>
  <c r="J23" i="4"/>
  <c r="J15" i="4"/>
  <c r="J7" i="4"/>
  <c r="J46" i="4"/>
  <c r="J22" i="4"/>
  <c r="J6" i="4"/>
  <c r="J45" i="4"/>
  <c r="J29" i="4"/>
  <c r="J13" i="4"/>
  <c r="J3" i="4"/>
  <c r="F89" i="4"/>
  <c r="F81" i="4"/>
  <c r="F73" i="4"/>
  <c r="F65" i="4"/>
  <c r="F57" i="4"/>
  <c r="F49" i="4"/>
  <c r="F41" i="4"/>
  <c r="F33" i="4"/>
  <c r="F25" i="4"/>
  <c r="F17" i="4"/>
  <c r="F9" i="4"/>
  <c r="F80" i="4"/>
  <c r="F64" i="4"/>
  <c r="F48" i="4"/>
  <c r="F40" i="4"/>
  <c r="F24" i="4"/>
  <c r="F8" i="4"/>
  <c r="F88" i="4"/>
  <c r="F72" i="4"/>
  <c r="F56" i="4"/>
  <c r="F32" i="4"/>
  <c r="F16" i="4"/>
  <c r="F87" i="4"/>
  <c r="F79" i="4"/>
  <c r="F71" i="4"/>
  <c r="F63" i="4"/>
  <c r="F55" i="4"/>
  <c r="F47" i="4"/>
  <c r="F39" i="4"/>
  <c r="F31" i="4"/>
  <c r="F23" i="4"/>
  <c r="F15" i="4"/>
  <c r="F7" i="4"/>
  <c r="F86" i="4"/>
  <c r="F78" i="4"/>
  <c r="F70" i="4"/>
  <c r="F62" i="4"/>
  <c r="F54" i="4"/>
  <c r="F46" i="4"/>
  <c r="F38" i="4"/>
  <c r="F30" i="4"/>
  <c r="F22" i="4"/>
  <c r="F14" i="4"/>
  <c r="F6" i="4"/>
  <c r="F85" i="4"/>
  <c r="F77" i="4"/>
  <c r="F69" i="4"/>
  <c r="F61" i="4"/>
  <c r="F53" i="4"/>
  <c r="F45" i="4"/>
  <c r="F37" i="4"/>
  <c r="F29" i="4"/>
  <c r="F21" i="4"/>
  <c r="F13" i="4"/>
  <c r="F5" i="4"/>
  <c r="F84" i="4"/>
  <c r="F76" i="4"/>
  <c r="F68" i="4"/>
  <c r="F60" i="4"/>
  <c r="F52" i="4"/>
  <c r="F44" i="4"/>
  <c r="F36" i="4"/>
  <c r="F28" i="4"/>
  <c r="F20" i="4"/>
  <c r="F12" i="4"/>
  <c r="F4" i="4"/>
  <c r="F83" i="4"/>
  <c r="F75" i="4"/>
  <c r="F67" i="4"/>
  <c r="F59" i="4"/>
  <c r="F51" i="4"/>
  <c r="F43" i="4"/>
  <c r="F35" i="4"/>
  <c r="F27" i="4"/>
  <c r="F19" i="4"/>
  <c r="F11" i="4"/>
  <c r="F82" i="4"/>
  <c r="F74" i="4"/>
  <c r="F66" i="4"/>
  <c r="F58" i="4"/>
  <c r="F50" i="4"/>
  <c r="F42" i="4"/>
  <c r="F34" i="4"/>
  <c r="F26" i="4"/>
  <c r="F18" i="4"/>
  <c r="F10" i="4"/>
  <c r="F3" i="4"/>
  <c r="C62" i="4"/>
  <c r="C52" i="4"/>
  <c r="C43" i="4"/>
  <c r="C35" i="4"/>
  <c r="C19" i="4"/>
  <c r="C42" i="4"/>
  <c r="C26" i="4"/>
  <c r="C10" i="4"/>
  <c r="C59" i="4"/>
  <c r="C58" i="4"/>
  <c r="C57" i="4"/>
  <c r="C49" i="4"/>
  <c r="C41" i="4"/>
  <c r="C33" i="4"/>
  <c r="C25" i="4"/>
  <c r="C17" i="4"/>
  <c r="C9" i="4"/>
  <c r="C56" i="4"/>
  <c r="C48" i="4"/>
  <c r="C40" i="4"/>
  <c r="C32" i="4"/>
  <c r="C24" i="4"/>
  <c r="C16" i="4"/>
  <c r="C8" i="4"/>
  <c r="C55" i="4"/>
  <c r="C47" i="4"/>
  <c r="C39" i="4"/>
  <c r="C31" i="4"/>
  <c r="C23" i="4"/>
  <c r="C15" i="4"/>
  <c r="C7" i="4"/>
  <c r="C54" i="4"/>
  <c r="C46" i="4"/>
  <c r="C38" i="4"/>
  <c r="C30" i="4"/>
  <c r="C22" i="4"/>
  <c r="C14" i="4"/>
  <c r="C6" i="4"/>
  <c r="C61" i="4"/>
  <c r="C53" i="4"/>
  <c r="C45" i="4"/>
  <c r="C37" i="4"/>
  <c r="C29" i="4"/>
  <c r="C21" i="4"/>
  <c r="C13" i="4"/>
  <c r="C5" i="4"/>
  <c r="C60" i="4"/>
  <c r="C44" i="4"/>
  <c r="C36" i="4"/>
  <c r="C28" i="4"/>
  <c r="C20" i="4"/>
  <c r="C12" i="4"/>
  <c r="C4" i="4"/>
  <c r="C51" i="4"/>
  <c r="C27" i="4"/>
  <c r="C11" i="4"/>
  <c r="C34" i="4"/>
  <c r="C18" i="4"/>
  <c r="C3" i="4"/>
  <c r="C5" i="1"/>
  <c r="C57" i="1"/>
  <c r="C11" i="1"/>
  <c r="C36" i="1"/>
  <c r="C61" i="1"/>
  <c r="C39" i="1"/>
  <c r="C17" i="1"/>
  <c r="C66" i="1"/>
  <c r="C68" i="1"/>
  <c r="C13" i="1"/>
  <c r="C3" i="1"/>
  <c r="C71" i="1"/>
  <c r="C40" i="1"/>
  <c r="C37" i="1"/>
  <c r="C30" i="1"/>
  <c r="C4" i="1"/>
  <c r="C49" i="1"/>
  <c r="C44" i="1"/>
  <c r="C6" i="1"/>
  <c r="C7" i="1"/>
  <c r="C23" i="1"/>
  <c r="C48" i="1"/>
  <c r="C14" i="1"/>
  <c r="C51" i="1"/>
  <c r="C29" i="1"/>
  <c r="C19" i="1"/>
  <c r="C9" i="1"/>
  <c r="C50" i="1"/>
  <c r="C55" i="1"/>
  <c r="C56" i="1"/>
  <c r="C25" i="1"/>
  <c r="C58" i="1"/>
  <c r="C15" i="1"/>
  <c r="C45" i="1"/>
  <c r="C27" i="1"/>
  <c r="C54" i="1"/>
  <c r="C42" i="1"/>
  <c r="C10" i="1"/>
  <c r="C35" i="1"/>
  <c r="C60" i="1"/>
  <c r="C26" i="1"/>
  <c r="C63" i="1"/>
  <c r="C41" i="1"/>
  <c r="C31" i="1"/>
  <c r="C33" i="1"/>
  <c r="C28" i="1"/>
  <c r="C46" i="1"/>
  <c r="C62" i="1"/>
  <c r="C8" i="1"/>
  <c r="C67" i="1"/>
  <c r="C22" i="1"/>
  <c r="C47" i="1"/>
  <c r="C72" i="1"/>
  <c r="C38" i="1"/>
  <c r="C16" i="1"/>
  <c r="C53" i="1"/>
  <c r="C43" i="1"/>
  <c r="C69" i="1"/>
  <c r="C20" i="1"/>
  <c r="C34" i="1"/>
  <c r="C59" i="1"/>
  <c r="C65" i="1"/>
  <c r="C18" i="1"/>
  <c r="C21" i="1"/>
  <c r="C12" i="1"/>
  <c r="C52" i="1"/>
  <c r="C32" i="1"/>
  <c r="C70" i="1"/>
  <c r="C24" i="1"/>
  <c r="C64" i="1"/>
  <c r="C190" i="2"/>
  <c r="C126" i="2"/>
  <c r="C62" i="2"/>
  <c r="C205" i="2"/>
  <c r="C141" i="2"/>
  <c r="C77" i="2"/>
  <c r="C13" i="2"/>
  <c r="C156" i="2"/>
  <c r="C92" i="2"/>
  <c r="C28" i="2"/>
  <c r="C163" i="2"/>
  <c r="C99" i="2"/>
  <c r="C35" i="2"/>
  <c r="C170" i="2"/>
  <c r="C106" i="2"/>
  <c r="C42" i="2"/>
  <c r="C137" i="2"/>
  <c r="C177" i="2"/>
  <c r="C8" i="2"/>
  <c r="C48" i="2"/>
  <c r="C88" i="2"/>
  <c r="C105" i="2"/>
  <c r="C127" i="2"/>
  <c r="C144" i="2"/>
  <c r="C161" i="2"/>
  <c r="C182" i="2"/>
  <c r="C54" i="2"/>
  <c r="C69" i="2"/>
  <c r="C148" i="2"/>
  <c r="C84" i="2"/>
  <c r="C155" i="2"/>
  <c r="C91" i="2"/>
  <c r="C162" i="2"/>
  <c r="C34" i="2"/>
  <c r="C159" i="2"/>
  <c r="C25" i="2"/>
  <c r="C87" i="2"/>
  <c r="C121" i="2"/>
  <c r="C46" i="2"/>
  <c r="C204" i="2"/>
  <c r="C12" i="2"/>
  <c r="C19" i="2"/>
  <c r="C90" i="2"/>
  <c r="C136" i="2"/>
  <c r="C47" i="2"/>
  <c r="C120" i="2"/>
  <c r="C181" i="2"/>
  <c r="C117" i="2"/>
  <c r="C132" i="2"/>
  <c r="C203" i="2"/>
  <c r="C11" i="2"/>
  <c r="C18" i="2"/>
  <c r="C153" i="2"/>
  <c r="C24" i="2"/>
  <c r="C41" i="2"/>
  <c r="C63" i="2"/>
  <c r="C94" i="2"/>
  <c r="C109" i="2"/>
  <c r="C60" i="2"/>
  <c r="C67" i="2"/>
  <c r="C74" i="2"/>
  <c r="C95" i="2"/>
  <c r="C23" i="2"/>
  <c r="C79" i="2"/>
  <c r="C197" i="2"/>
  <c r="C174" i="2"/>
  <c r="C166" i="2"/>
  <c r="C158" i="2"/>
  <c r="C150" i="2"/>
  <c r="C86" i="2"/>
  <c r="C22" i="2"/>
  <c r="C165" i="2"/>
  <c r="C101" i="2"/>
  <c r="C37" i="2"/>
  <c r="C180" i="2"/>
  <c r="C116" i="2"/>
  <c r="C52" i="2"/>
  <c r="C187" i="2"/>
  <c r="C123" i="2"/>
  <c r="C59" i="2"/>
  <c r="C194" i="2"/>
  <c r="C130" i="2"/>
  <c r="C66" i="2"/>
  <c r="C201" i="2"/>
  <c r="C32" i="2"/>
  <c r="C72" i="2"/>
  <c r="C112" i="2"/>
  <c r="C152" i="2"/>
  <c r="C169" i="2"/>
  <c r="C191" i="2"/>
  <c r="C17" i="2"/>
  <c r="C39" i="2"/>
  <c r="C56" i="2"/>
  <c r="C142" i="2"/>
  <c r="C78" i="2"/>
  <c r="C14" i="2"/>
  <c r="C157" i="2"/>
  <c r="C93" i="2"/>
  <c r="C29" i="2"/>
  <c r="C172" i="2"/>
  <c r="C108" i="2"/>
  <c r="C44" i="2"/>
  <c r="C179" i="2"/>
  <c r="C115" i="2"/>
  <c r="C51" i="2"/>
  <c r="C186" i="2"/>
  <c r="C122" i="2"/>
  <c r="C58" i="2"/>
  <c r="C183" i="2"/>
  <c r="C9" i="2"/>
  <c r="C49" i="2"/>
  <c r="C89" i="2"/>
  <c r="C129" i="2"/>
  <c r="C151" i="2"/>
  <c r="C168" i="2"/>
  <c r="C185" i="2"/>
  <c r="C16" i="2"/>
  <c r="C33" i="2"/>
  <c r="C110" i="2"/>
  <c r="C61" i="2"/>
  <c r="C76" i="2"/>
  <c r="C83" i="2"/>
  <c r="C26" i="2"/>
  <c r="C176" i="2"/>
  <c r="C64" i="2"/>
  <c r="C103" i="2"/>
  <c r="C102" i="2"/>
  <c r="C196" i="2"/>
  <c r="C139" i="2"/>
  <c r="C82" i="2"/>
  <c r="C113" i="2"/>
  <c r="C80" i="2"/>
  <c r="C30" i="2"/>
  <c r="C188" i="2"/>
  <c r="C131" i="2"/>
  <c r="C138" i="2"/>
  <c r="C55" i="2"/>
  <c r="C175" i="2"/>
  <c r="C40" i="2"/>
  <c r="C206" i="2"/>
  <c r="C4" i="2"/>
  <c r="C198" i="2"/>
  <c r="C134" i="2"/>
  <c r="C70" i="2"/>
  <c r="C6" i="2"/>
  <c r="C149" i="2"/>
  <c r="C85" i="2"/>
  <c r="C21" i="2"/>
  <c r="C164" i="2"/>
  <c r="C100" i="2"/>
  <c r="C36" i="2"/>
  <c r="C171" i="2"/>
  <c r="C107" i="2"/>
  <c r="C43" i="2"/>
  <c r="C178" i="2"/>
  <c r="C114" i="2"/>
  <c r="C50" i="2"/>
  <c r="C160" i="2"/>
  <c r="C200" i="2"/>
  <c r="C31" i="2"/>
  <c r="C71" i="2"/>
  <c r="C111" i="2"/>
  <c r="C128" i="2"/>
  <c r="C145" i="2"/>
  <c r="C167" i="2"/>
  <c r="C184" i="2"/>
  <c r="C15" i="2"/>
  <c r="C118" i="2"/>
  <c r="C133" i="2"/>
  <c r="C5" i="2"/>
  <c r="C20" i="2"/>
  <c r="C27" i="2"/>
  <c r="C98" i="2"/>
  <c r="C119" i="2"/>
  <c r="C199" i="2"/>
  <c r="C65" i="2"/>
  <c r="C104" i="2"/>
  <c r="C143" i="2"/>
  <c r="C189" i="2"/>
  <c r="C125" i="2"/>
  <c r="C140" i="2"/>
  <c r="C147" i="2"/>
  <c r="C154" i="2"/>
  <c r="C96" i="2"/>
  <c r="C7" i="2"/>
  <c r="C81" i="2"/>
  <c r="C38" i="2"/>
  <c r="C53" i="2"/>
  <c r="C68" i="2"/>
  <c r="C75" i="2"/>
  <c r="C146" i="2"/>
  <c r="C73" i="2"/>
  <c r="C193" i="2"/>
  <c r="C97" i="2"/>
  <c r="C173" i="2"/>
  <c r="C45" i="2"/>
  <c r="C124" i="2"/>
  <c r="C195" i="2"/>
  <c r="C202" i="2"/>
  <c r="C10" i="2"/>
  <c r="C135" i="2"/>
  <c r="C192" i="2"/>
  <c r="C57" i="2"/>
  <c r="E24" i="1" l="1"/>
  <c r="E32" i="1"/>
  <c r="E12" i="1"/>
  <c r="E21" i="1"/>
  <c r="E18" i="1"/>
  <c r="E34" i="1"/>
  <c r="E20" i="1"/>
  <c r="E16" i="1"/>
  <c r="E38" i="1"/>
  <c r="E22" i="1"/>
  <c r="E8" i="1"/>
  <c r="E28" i="1"/>
  <c r="E33" i="1"/>
  <c r="E31" i="1"/>
  <c r="E41" i="1"/>
  <c r="E26" i="1"/>
  <c r="E35" i="1"/>
  <c r="E10" i="1"/>
  <c r="E27" i="1"/>
  <c r="E15" i="1"/>
  <c r="E25" i="1"/>
  <c r="E9" i="1"/>
  <c r="E19" i="1"/>
  <c r="E29" i="1"/>
  <c r="E14" i="1"/>
  <c r="E23" i="1"/>
  <c r="E7" i="1"/>
  <c r="E6" i="1"/>
  <c r="E4" i="1"/>
  <c r="E30" i="1"/>
  <c r="E37" i="1"/>
  <c r="E40" i="1"/>
  <c r="E3" i="1"/>
  <c r="E13" i="1"/>
  <c r="E17" i="1"/>
  <c r="E39" i="1"/>
  <c r="E36" i="1"/>
  <c r="E11" i="1"/>
  <c r="E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<sst xmlns="http://schemas.openxmlformats.org/spreadsheetml/2006/main" count="1287" uniqueCount="418">
  <si>
    <t>ssets</t>
  </si>
  <si>
    <t>Office rooms / facilities</t>
  </si>
  <si>
    <t>Production facilities</t>
  </si>
  <si>
    <t>Infrastructure cabling (e.g., electrical, grounding, etc.)</t>
  </si>
  <si>
    <t>Basic services (e.g., electricity, water, sewer, HVAC, air-conditioning, fire suppression, etc.)</t>
  </si>
  <si>
    <t>Server room or datacenter</t>
  </si>
  <si>
    <t>Remote workspace</t>
  </si>
  <si>
    <t>Archives</t>
  </si>
  <si>
    <t>Warehouses</t>
  </si>
  <si>
    <t>Safes</t>
  </si>
  <si>
    <t>Cabinets</t>
  </si>
  <si>
    <t>Uniterruptible power supply (UPS) devices</t>
  </si>
  <si>
    <t>Power generators</t>
  </si>
  <si>
    <t>Vehicles</t>
  </si>
  <si>
    <t>Keys</t>
  </si>
  <si>
    <t>Alarm systems</t>
  </si>
  <si>
    <t>CCTV / surveillance cameras</t>
  </si>
  <si>
    <t>Cards and card readers</t>
  </si>
  <si>
    <t>IT and communication equipment</t>
  </si>
  <si>
    <t>Assets</t>
  </si>
  <si>
    <t>Desktop computers</t>
  </si>
  <si>
    <t>IT cabling (e.g., coaxial, fiber, ethernet, etc.)</t>
  </si>
  <si>
    <t>Servers</t>
  </si>
  <si>
    <t>Measuring equipment</t>
  </si>
  <si>
    <t>Desktop phones</t>
  </si>
  <si>
    <t>Wireless WAN (includes WAN assets plus wi-fi and/or bluetooth, routers, adapters, access points, etc.)</t>
  </si>
  <si>
    <t>Wireless LAN (includes wi-fi and/or bluetooth, routers, adapters, access points, etc.)</t>
  </si>
  <si>
    <t>Storage media</t>
  </si>
  <si>
    <t>Printers, faxes, scanners, photocopiers and other peripherals</t>
  </si>
  <si>
    <t>Network equipment (e.g., firewalls, routers and switches)</t>
  </si>
  <si>
    <t>Mobile devices (e.g., laptops, notebooks, tablets, smartphones, PDAs)</t>
  </si>
  <si>
    <t>Software &amp; databases</t>
  </si>
  <si>
    <t>Databases</t>
  </si>
  <si>
    <t>Various software tools</t>
  </si>
  <si>
    <t>Database management systems</t>
  </si>
  <si>
    <t>Operating systems</t>
  </si>
  <si>
    <t>Third-party custom made software</t>
  </si>
  <si>
    <t>Internally developed software</t>
  </si>
  <si>
    <t>Third-party off-the-shelf applications (e.g., office suite)</t>
  </si>
  <si>
    <t>Other documents and data (in electronic and other forms)</t>
  </si>
  <si>
    <t>Equipment documentation</t>
  </si>
  <si>
    <t>Records and logs</t>
  </si>
  <si>
    <t>Third-party data (not including personal data)</t>
  </si>
  <si>
    <t>Personal data (e.g., from employees or customers)</t>
  </si>
  <si>
    <t>Proprietary data</t>
  </si>
  <si>
    <t>Policies, procedures,plans and work instructions</t>
  </si>
  <si>
    <t>Laws, regulations, contracts and agreements</t>
  </si>
  <si>
    <t>Training documentation</t>
  </si>
  <si>
    <t>Human resources</t>
  </si>
  <si>
    <t>Visitors</t>
  </si>
  <si>
    <t>Other employees</t>
  </si>
  <si>
    <t>Top management</t>
  </si>
  <si>
    <t>Remote employees</t>
  </si>
  <si>
    <t>Employees with specific expertise (e.g. system administrators, designers, software developers, security experts, etc.)</t>
  </si>
  <si>
    <t>Middle management</t>
  </si>
  <si>
    <t>Third-party services</t>
  </si>
  <si>
    <t>Power supply (electricity)</t>
  </si>
  <si>
    <t>Third-party services used over the Internet (e.g., SaaS)</t>
  </si>
  <si>
    <t>Outsourced personnel (e.g., freelancers or contractors)</t>
  </si>
  <si>
    <t>Cleaning and facilities maintenance</t>
  </si>
  <si>
    <t>Auditors, supervisory authorities</t>
  </si>
  <si>
    <t>Consultants</t>
  </si>
  <si>
    <t>Legal services</t>
  </si>
  <si>
    <t>Mail and courier services</t>
  </si>
  <si>
    <t>Software and database maintenance</t>
  </si>
  <si>
    <t>IT equipment maintenance</t>
  </si>
  <si>
    <t>Communication services (voice, Internet, etc.)</t>
  </si>
  <si>
    <t>Vulnerabilities</t>
  </si>
  <si>
    <t>Lack of / inadequate maintenance</t>
  </si>
  <si>
    <t>Incompatible infrastructure</t>
  </si>
  <si>
    <t>Lack of access controls to facilities, rooms or offices</t>
  </si>
  <si>
    <t>Inadequate infrastructure capacity</t>
  </si>
  <si>
    <t>Inadequate infrastructure change control</t>
  </si>
  <si>
    <t>Inadequate electrical cabling</t>
  </si>
  <si>
    <t>Lack of / poor internal audit of infrastructure</t>
  </si>
  <si>
    <t>Location of infrastructure sensitive to natural disasters</t>
  </si>
  <si>
    <t>Location of infrastructure sensitive to water leakage</t>
  </si>
  <si>
    <t>Over-dependence on one infrastructure</t>
  </si>
  <si>
    <t>Rules related to infrastructure not clearly defined</t>
  </si>
  <si>
    <t>Use of old infrastructure / equipment / facilities</t>
  </si>
  <si>
    <t>Disposal of storage media without erasing data</t>
  </si>
  <si>
    <t>Inadequate maintenance of IT / communication equipment</t>
  </si>
  <si>
    <t>Cryptographic keys accessible to unauthorized persons</t>
  </si>
  <si>
    <t>Wrong configuration of network access</t>
  </si>
  <si>
    <t>Lack of alternative power supply</t>
  </si>
  <si>
    <t>Use of old IT / communication equipment</t>
  </si>
  <si>
    <t>Lack of / poor internal audit of IT / communication equipment</t>
  </si>
  <si>
    <t>Test and operational environment are not separated</t>
  </si>
  <si>
    <t>Inadequate network management</t>
  </si>
  <si>
    <t>Sensitivity of equipment to voltage change</t>
  </si>
  <si>
    <t>Mobile equipment improperly attended</t>
  </si>
  <si>
    <t>Inadequate IT cabling</t>
  </si>
  <si>
    <t>Sensitivity of equipment to temperature</t>
  </si>
  <si>
    <t>Sensitivity of equipment to humidity and pollution</t>
  </si>
  <si>
    <t>Inadequate change control of IT / communication equipment</t>
  </si>
  <si>
    <t>Rules for IT / communication equipment not clearly defined</t>
  </si>
  <si>
    <t>Inadequate capacity of IT / communication equipment</t>
  </si>
  <si>
    <t>Over-dependence on one device</t>
  </si>
  <si>
    <t>Inadequate / incompatible equipment</t>
  </si>
  <si>
    <t>Network devices inadequately physically protected</t>
  </si>
  <si>
    <t>Downloads from Internet not controlled</t>
  </si>
  <si>
    <t>Mobile equipment inadequately physically protected</t>
  </si>
  <si>
    <t>Access rights are granted beyond what is necessary</t>
  </si>
  <si>
    <t>Lack of evidence of sent or received messages</t>
  </si>
  <si>
    <t>System-generated passwords remain unchanged</t>
  </si>
  <si>
    <t>Weak passwords</t>
  </si>
  <si>
    <t>Lack of validation for processed data</t>
  </si>
  <si>
    <t>Undocumented software</t>
  </si>
  <si>
    <t>Lack of input and output data control</t>
  </si>
  <si>
    <t>Systems unprotected from unauthorized access</t>
  </si>
  <si>
    <t>Lack of information about who uses information systems</t>
  </si>
  <si>
    <t>Software misconfiguration</t>
  </si>
  <si>
    <t>No deactivation of user accounts after termination of employment</t>
  </si>
  <si>
    <t>Lack of / poor internal audit of software and its databases</t>
  </si>
  <si>
    <t>Software design flaw</t>
  </si>
  <si>
    <t>Software components not compatible</t>
  </si>
  <si>
    <t>Lack of / not updated anti-virus software</t>
  </si>
  <si>
    <t>Sessions are left active after working hours</t>
  </si>
  <si>
    <t>Inadequate change control of software and its databases</t>
  </si>
  <si>
    <t>Rules for software and its databases not clearly defined</t>
  </si>
  <si>
    <t>Complicated user interface</t>
  </si>
  <si>
    <t>Requirements for software development not clearly defined</t>
  </si>
  <si>
    <t>Backup does not exist or is not regularly performed</t>
  </si>
  <si>
    <t>Over-dependence on one system</t>
  </si>
  <si>
    <t>Wrong understanding about the sensitivity of information</t>
  </si>
  <si>
    <t>Uncontrolled copying of documents and data</t>
  </si>
  <si>
    <t>Single copy / only one copy of information available</t>
  </si>
  <si>
    <t>Rules on document control not clearly defined</t>
  </si>
  <si>
    <t>Poor selection of test data</t>
  </si>
  <si>
    <t>Lack of / poor internal audit of documents and data</t>
  </si>
  <si>
    <t>Inadequate physical protection of documents</t>
  </si>
  <si>
    <t>Inadequate change control of documents and data</t>
  </si>
  <si>
    <t>Confidentiality level not clearly defined</t>
  </si>
  <si>
    <t>Unmotivated or disgruntled employees</t>
  </si>
  <si>
    <t>Rules on how to handle information not clearly defined</t>
  </si>
  <si>
    <t>Rules for working off-premises not clearly defined</t>
  </si>
  <si>
    <t>Replacement person does not exist / is inadequate</t>
  </si>
  <si>
    <t>Lack of / poor internal audit of human resources</t>
  </si>
  <si>
    <t>Inadequate supervision of the work</t>
  </si>
  <si>
    <t>Inadequate level of knowledge and/or awareness</t>
  </si>
  <si>
    <t>Inadequate segregation of duties</t>
  </si>
  <si>
    <t>Inadequate supervision of external suppliers</t>
  </si>
  <si>
    <t>Third-party is inadequately prepared for disruptions</t>
  </si>
  <si>
    <t>Assets remain with suppliers/partners after the end of relationship</t>
  </si>
  <si>
    <t>Third-party business strategy change</t>
  </si>
  <si>
    <t>Third party does not have adequate access control</t>
  </si>
  <si>
    <t>Rules on how to handle third parties not clearly defined</t>
  </si>
  <si>
    <t>Over-dependence on a supplier/partner</t>
  </si>
  <si>
    <t>Lack of or poor audit implementation of third-party services</t>
  </si>
  <si>
    <t>Lack of formal agreements</t>
  </si>
  <si>
    <t>Lack of control on where third-party stores information</t>
  </si>
  <si>
    <t>It is not certain if third-party will sustain their business operations</t>
  </si>
  <si>
    <t>Incompatible infrastructure or equipment</t>
  </si>
  <si>
    <t>Step 2 / 3</t>
  </si>
  <si>
    <t>Continue </t>
  </si>
  <si>
    <t>Infrastructure</t>
  </si>
  <si>
    <t>Threats</t>
  </si>
  <si>
    <t>Manipulation or destruction of equipment</t>
  </si>
  <si>
    <t>Unauthorized entry into facilities, rooms or offices</t>
  </si>
  <si>
    <t>Theft, vandalism, or sabotage</t>
  </si>
  <si>
    <t>Terrorist attack (bomb, shooting, etc.)</t>
  </si>
  <si>
    <t>Fire</t>
  </si>
  <si>
    <t>Flood</t>
  </si>
  <si>
    <t>Other disasters (natural)</t>
  </si>
  <si>
    <t>Lightning strike</t>
  </si>
  <si>
    <t>Earthquake</t>
  </si>
  <si>
    <t>Storm</t>
  </si>
  <si>
    <t>Industrial accident</t>
  </si>
  <si>
    <t>Interruption of communication services</t>
  </si>
  <si>
    <t>Unauthorized access to equipment, cabinets, etc.</t>
  </si>
  <si>
    <t>Concealing user identity</t>
  </si>
  <si>
    <t>Eavesdroppng</t>
  </si>
  <si>
    <t>Equipment tampering</t>
  </si>
  <si>
    <t>Denial of service attack</t>
  </si>
  <si>
    <t>Breakdown of communication links</t>
  </si>
  <si>
    <t>Equipment failure</t>
  </si>
  <si>
    <t>Maintenance errors</t>
  </si>
  <si>
    <t>Breach of contracts or agreements</t>
  </si>
  <si>
    <t>Breach of laws or regulations</t>
  </si>
  <si>
    <t>Improper use of IT systems or information</t>
  </si>
  <si>
    <t>Unintentional change of data in an information system</t>
  </si>
  <si>
    <t>Unintentional access to information system</t>
  </si>
  <si>
    <t>Unintentional installation of software</t>
  </si>
  <si>
    <t>Unintentional use of licensed materials</t>
  </si>
  <si>
    <t>Unintentional use of untested or prohibited code</t>
  </si>
  <si>
    <t>Unintentional user error</t>
  </si>
  <si>
    <t>Unintentional damage incurred during penetration testing</t>
  </si>
  <si>
    <t>Unauthorized use, manipulation or destruction of software</t>
  </si>
  <si>
    <t>Infection with malicious software (e.g., virus, trojan, etc.)</t>
  </si>
  <si>
    <t>Misuse of audit tools</t>
  </si>
  <si>
    <t>Access to information system with malicious intent</t>
  </si>
  <si>
    <t>Installation of software with malicious intent</t>
  </si>
  <si>
    <t>Use of licensed materials with malicious intent</t>
  </si>
  <si>
    <t>Use of unauthorized or untested code with malicious intent</t>
  </si>
  <si>
    <t>Malicious user error</t>
  </si>
  <si>
    <t>Inappropriate handling of authentication information (e.g. passwords)</t>
  </si>
  <si>
    <t>Malicious disclosure of passwords</t>
  </si>
  <si>
    <t>Application error</t>
  </si>
  <si>
    <t>Unintentional disclosure of data / information</t>
  </si>
  <si>
    <t>Industrial espionage</t>
  </si>
  <si>
    <t>Unintentional access to physical data</t>
  </si>
  <si>
    <t>Data / information theft</t>
  </si>
  <si>
    <t>Malicious leakage/disclosure of information</t>
  </si>
  <si>
    <t>Errors or interruption of service of third-party providers</t>
  </si>
  <si>
    <t>Attack through outsourced equipment/service (compromising supply chain)</t>
  </si>
  <si>
    <t>Step 3 / 3</t>
  </si>
  <si>
    <t>Complete the excercise </t>
  </si>
  <si>
    <t>Vulnerabilidades</t>
  </si>
  <si>
    <t>Etiquetas de fila</t>
  </si>
  <si>
    <t>Total general</t>
  </si>
  <si>
    <t>Office adm</t>
  </si>
  <si>
    <t>Padre</t>
  </si>
  <si>
    <t>hijo</t>
  </si>
  <si>
    <t>Amenazas</t>
  </si>
  <si>
    <t>Traducido</t>
  </si>
  <si>
    <t>id</t>
  </si>
  <si>
    <t>nombre_vul</t>
  </si>
  <si>
    <t>Los derechos de acceso se conceden más allá de lo necesario</t>
  </si>
  <si>
    <t>Activos</t>
  </si>
  <si>
    <t>Los activos permanecen en manos de proveedores/socios tras el fin de la relación</t>
  </si>
  <si>
    <t>No existe respaldo ni se realiza regularmente</t>
  </si>
  <si>
    <t>Interfaz de usuario complicada</t>
  </si>
  <si>
    <t>Nivel de confidencialidad no claramente definido</t>
  </si>
  <si>
    <t>Claves criptográficas accesibles para personas no autorizadas</t>
  </si>
  <si>
    <t>Eliminación de medios de almacenamiento sin borrar datos</t>
  </si>
  <si>
    <t>Descargas de Internet no controladas</t>
  </si>
  <si>
    <t>Equipamiento inadecuado / incompatible</t>
  </si>
  <si>
    <t>Capacidad insuficiente de equipos de TI / comunicación</t>
  </si>
  <si>
    <t>Control inadecuado de cambios en documentos y datos</t>
  </si>
  <si>
    <t>Control inadecuado de cambios en equipos de TI / comunicaciones</t>
  </si>
  <si>
    <t>Control de cambios inadecuado del software y sus bases de datos</t>
  </si>
  <si>
    <t>Cableado eléctrico inadecuado</t>
  </si>
  <si>
    <t>Capacidad de infraestructura insuficiente</t>
  </si>
  <si>
    <t>Control inadecuado de cambios en infraestructuras</t>
  </si>
  <si>
    <t>Cableado informático inadecuado</t>
  </si>
  <si>
    <t>Nivel insuficiente de conocimiento y/o conciencia</t>
  </si>
  <si>
    <t>Mantenimiento inadecuado de equipos de TI / comunicaciones</t>
  </si>
  <si>
    <t>Gestión inadecuada de la red</t>
  </si>
  <si>
    <t>Protección física insuficiente de documentos</t>
  </si>
  <si>
    <t>Segregación insuficiente de funciones</t>
  </si>
  <si>
    <t>Supervisión inadecuada de proveedores externos</t>
  </si>
  <si>
    <t>Supervisión inadecuada del trabajo</t>
  </si>
  <si>
    <t>Infraestructura incompatible</t>
  </si>
  <si>
    <t>Infraestructura o equipamiento incompatibles</t>
  </si>
  <si>
    <t>No está claro si terceros mantendrán sus operaciones comerciales</t>
  </si>
  <si>
    <t>Falta de mantenimiento o insuficiente</t>
  </si>
  <si>
    <t>Falta de software antivirus o no actualizado</t>
  </si>
  <si>
    <t>Falta de / mala auditoría interna de documentos y datos</t>
  </si>
  <si>
    <t>Falta de auditoría interna o deficiente de recursos humanos</t>
  </si>
  <si>
    <t>Falta de / mala auditoría interna de la infraestructura</t>
  </si>
  <si>
    <t>Falta de / deficiente auditoría interna de equipos de TI / comunicaciones</t>
  </si>
  <si>
    <t>Falta de auditoría interna o deficiente del software y sus bases de datos</t>
  </si>
  <si>
    <t>Falta de controles de acceso a instalaciones, habitaciones u oficinas</t>
  </si>
  <si>
    <t>Falta de una fuente de alimentación alternativa</t>
  </si>
  <si>
    <t>Falta de control sobre dónde almacena la información de terceros</t>
  </si>
  <si>
    <t>Falta de pruebas de mensajes enviados o recibidos</t>
  </si>
  <si>
    <t>Falta de acuerdos formales</t>
  </si>
  <si>
    <t>Falta de información sobre quién utiliza los sistemas de información</t>
  </si>
  <si>
    <t>Falta de control de datos de entrada y salida</t>
  </si>
  <si>
    <t>Falta o deficiente implementación de auditorías de servicios de terceros</t>
  </si>
  <si>
    <t>Falta de validación para los datos procesados</t>
  </si>
  <si>
    <t>Ubicación de infraestructuras sensibles a desastres naturales</t>
  </si>
  <si>
    <t>Ubicación de la infraestructura sensible a fugas de agua</t>
  </si>
  <si>
    <t>Equipos móviles mal atendidos</t>
  </si>
  <si>
    <t>Equipos móviles inadecuadamente protegidos físicamente</t>
  </si>
  <si>
    <t>Dispositivos de red están insuficientemente protegidos físicamente</t>
  </si>
  <si>
    <t>No se permiten desactivaciones de cuentas de usuario tras el terminamiento del contrato</t>
  </si>
  <si>
    <t>Dependencia excesiva de un proveedor o socio</t>
  </si>
  <si>
    <t>Dependencia excesiva de un solo dispositivo</t>
  </si>
  <si>
    <t>Sobredependencia de una sola infraestructura</t>
  </si>
  <si>
    <t>Sobredependencia de un sistema</t>
  </si>
  <si>
    <t>Mala selección de datos de pruebas</t>
  </si>
  <si>
    <t>La persona de reemplazo no existe / es inadecuada</t>
  </si>
  <si>
    <t>Requisitos para el desarrollo de software no claramente definidos</t>
  </si>
  <si>
    <t>Normas para equipos de TI / comunicaciones no claramente definidas</t>
  </si>
  <si>
    <t>Reglas para software y sus bases de datos no claramente definidas</t>
  </si>
  <si>
    <t>Reglas para trabajar fuera de las instalaciones no claramente definidas</t>
  </si>
  <si>
    <t>Reglas sobre el control de documentos no claramente definidas</t>
  </si>
  <si>
    <t>Normas sobre cómo manejar información no claramente definidas</t>
  </si>
  <si>
    <t>Normas sobre cómo tratar a terceros no están claramente definidas</t>
  </si>
  <si>
    <t>Normas relacionadas con infraestructuras no claramente definidas</t>
  </si>
  <si>
    <t>Sensibilidad del equipo a la humedad y la contaminación</t>
  </si>
  <si>
    <t>Sensibilidad del equipo a la temperatura</t>
  </si>
  <si>
    <t>Sensibilidad del equipo al cambio de tensión</t>
  </si>
  <si>
    <t>Las sesiones permanecen activas después del horario laboral</t>
  </si>
  <si>
    <t>Copia única / solo una copia de la información disponible</t>
  </si>
  <si>
    <t>Componentes de software no compatibles</t>
  </si>
  <si>
    <t>Fallo de diseño de software</t>
  </si>
  <si>
    <t>Error de configuración del software</t>
  </si>
  <si>
    <t>Las contraseñas generadas por el sistema permanecen sin cambios</t>
  </si>
  <si>
    <t>Sistemas no protegidos contra accesos no autorizados</t>
  </si>
  <si>
    <t>El entorno de prueba y el entorno operativo no están separados</t>
  </si>
  <si>
    <t>Un tercero no tiene un control de acceso adecuado</t>
  </si>
  <si>
    <t>Cambio en la estrategia empresarial de terceros</t>
  </si>
  <si>
    <t>Terceros no están suficientemente preparados para las interrupciones</t>
  </si>
  <si>
    <t>Copia incontrolada de documentos y datos</t>
  </si>
  <si>
    <t>Software no documentado</t>
  </si>
  <si>
    <t>Empleados desmotivados o descontentos</t>
  </si>
  <si>
    <t>Uso de infraestructuras, equipos e instalaciones antiguas</t>
  </si>
  <si>
    <t>Uso de equipos antiguos de TI/comunicación</t>
  </si>
  <si>
    <t>Contraseñas débiles</t>
  </si>
  <si>
    <t>Configuración incorrecta del acceso a la red</t>
  </si>
  <si>
    <t>Comprensión errónea sobre la sensibilidad de la información</t>
  </si>
  <si>
    <t>nombre_ame</t>
  </si>
  <si>
    <t>Sistema de acceso a la información con intención maliciosa</t>
  </si>
  <si>
    <t>Error de aplicación</t>
  </si>
  <si>
    <t>Ataque a través de equipo/servicio externalizado (comprometiendo la cadena de suministro)</t>
  </si>
  <si>
    <t>Incumplimiento de contratos o acuerdos</t>
  </si>
  <si>
    <t>Incumplimiento de leyes o reglamentos</t>
  </si>
  <si>
    <t>Ruptura de los enlaces de comunicación</t>
  </si>
  <si>
    <t>Ocultación de la identidad del usuario</t>
  </si>
  <si>
    <t>Robo de datos / información</t>
  </si>
  <si>
    <t>Ataque de denegación de servicio</t>
  </si>
  <si>
    <t>Terremoto</t>
  </si>
  <si>
    <t>Escuchar a escondidas.</t>
  </si>
  <si>
    <t>Fallo del equipo</t>
  </si>
  <si>
    <t>Manipulación de equipos</t>
  </si>
  <si>
    <t>Errores o interrupciones del servicio de proveedores externos</t>
  </si>
  <si>
    <t>Incendio</t>
  </si>
  <si>
    <t>Inundación</t>
  </si>
  <si>
    <t>Uso inadecuado de sistemas o información informática</t>
  </si>
  <si>
    <t>Manejo inapropiado de la información de autenticación (por ejemplo, contraseñas)</t>
  </si>
  <si>
    <t>Accidente industrial</t>
  </si>
  <si>
    <t>Espionaje industrial</t>
  </si>
  <si>
    <t>Infección por software malicioso (por ejemplo, virus, troyano, etc.)</t>
  </si>
  <si>
    <t>Instalación de software con intención maliciosa</t>
  </si>
  <si>
    <t>Interrupción de los servicios de comunicación</t>
  </si>
  <si>
    <t>Rayo</t>
  </si>
  <si>
    <t>Errores de mantenimiento</t>
  </si>
  <si>
    <t>Divulgación maliciosa de contraseñas</t>
  </si>
  <si>
    <t>Filtración/divulgación maliciosa de información</t>
  </si>
  <si>
    <t>Error malicioso del usuario</t>
  </si>
  <si>
    <t>Manipulación o destrucción de equipos</t>
  </si>
  <si>
    <t>Uso indebido de herramientas de auditoría</t>
  </si>
  <si>
    <t>Otros desastres (naturales)</t>
  </si>
  <si>
    <t>Tormenta</t>
  </si>
  <si>
    <t>Atentado terrorista (bomba, tiroteo, etc.)</t>
  </si>
  <si>
    <t>Robo, vandalismo o sabotaje</t>
  </si>
  <si>
    <t>Acceso no autorizado a equipos, armarios, etc.</t>
  </si>
  <si>
    <t>Entrada no autorizada en instalaciones, habitaciones u oficinas</t>
  </si>
  <si>
    <t>Uso, manipulación o destrucción no autorizada de software</t>
  </si>
  <si>
    <t>Acceso no intencionado a sistemas de información</t>
  </si>
  <si>
    <t>Acceso no intencionado a datos físicos</t>
  </si>
  <si>
    <t>Cambio no intencionado de datos en un sistema de información</t>
  </si>
  <si>
    <t>Daños no intencionados sufridos durante las pruebas de penetración</t>
  </si>
  <si>
    <t>Divulgación no intencionada de datos / información</t>
  </si>
  <si>
    <t>Instalación no intencionada de software</t>
  </si>
  <si>
    <t>Uso no intencionado de materiales licenciados</t>
  </si>
  <si>
    <t>Uso no intencionado de código no probado o prohibido</t>
  </si>
  <si>
    <t>Error no intencionado del usuario</t>
  </si>
  <si>
    <t>Uso de materiales licenciados con intención maliciosa</t>
  </si>
  <si>
    <t>Uso de código no autorizado o no probado con intención maliciosa</t>
  </si>
  <si>
    <t>nombre_act</t>
  </si>
  <si>
    <t>Oficinas / instalaciones</t>
  </si>
  <si>
    <t>Instalaciones de producción</t>
  </si>
  <si>
    <t>Cableado de infraestructuras (por ejemplo, eléctrico, de puesta a tierra, etc.)</t>
  </si>
  <si>
    <t>Servicios básicos (por ejemplo, electricidad, agua, alcantarillado, climatización, aire acondicionado, supresión de incendios, etc.)</t>
  </si>
  <si>
    <t>Sala de servidores o centro de datos</t>
  </si>
  <si>
    <t>Espacio de trabajo remoto</t>
  </si>
  <si>
    <t>Archivos</t>
  </si>
  <si>
    <t>Almacenes</t>
  </si>
  <si>
    <t>Cajas fuertes</t>
  </si>
  <si>
    <t>Gabinetes</t>
  </si>
  <si>
    <t>Dispositivos de alimentación unitrrumpible (SAI)</t>
  </si>
  <si>
    <t>Generadores eléctricos</t>
  </si>
  <si>
    <t>Vehículos</t>
  </si>
  <si>
    <t>Teclas</t>
  </si>
  <si>
    <t>Sistemas de alarma</t>
  </si>
  <si>
    <t>Cámaras de vigilancia y CCTV</t>
  </si>
  <si>
    <t>Tarjetas y lectores de tarjetas</t>
  </si>
  <si>
    <t>Ordenadores de sobremesa</t>
  </si>
  <si>
    <t>Cableado IT (por ejemplo, coaxial, fibra, ethernet, etc.)</t>
  </si>
  <si>
    <t>Servidores</t>
  </si>
  <si>
    <t>Equipos de medición</t>
  </si>
  <si>
    <t>Teléfonos de sobremesa</t>
  </si>
  <si>
    <t>WAN inalámbrico (incluye activos WAN además de wi-fi y/o bluetooth, routers, adaptadores, puntos de acceso, etc.)</t>
  </si>
  <si>
    <t>LAN inalámbrica (incluye wi-fi y/o bluetooth, routers, adaptadores, puntos de acceso, etc.)</t>
  </si>
  <si>
    <t>Medios de almacenamiento</t>
  </si>
  <si>
    <t>Impresoras, faxes, escáneres, fotocopiadoras y otros periféricos</t>
  </si>
  <si>
    <t>Equipos de red (por ejemplo, cortafuegos, routers y switches)</t>
  </si>
  <si>
    <t>Dispositivos móviles (por ejemplo, portátiles, portátiles, tabletas, smartphones, PDAs)</t>
  </si>
  <si>
    <t>Bases de datos</t>
  </si>
  <si>
    <t>Diversas herramientas de software</t>
  </si>
  <si>
    <t>Sistemas de gestión de bases de datos</t>
  </si>
  <si>
    <t>Sistemas operativos</t>
  </si>
  <si>
    <t>Software personalizado de terceros</t>
  </si>
  <si>
    <t>Software desarrollado internamente</t>
  </si>
  <si>
    <t>Aplicaciones de terceros listas para usar (por ejemplo, suite de oficina)</t>
  </si>
  <si>
    <t>Documentación del equipo</t>
  </si>
  <si>
    <t>Registros y registros</t>
  </si>
  <si>
    <t>Datos de terceros (sin incluir datos personales)</t>
  </si>
  <si>
    <t>Datos personales (por ejemplo, de empleados o clientes)</t>
  </si>
  <si>
    <t>Datos propietarios</t>
  </si>
  <si>
    <t>Políticas, procedimientos, planes e instrucciones de trabajo</t>
  </si>
  <si>
    <t>Leyes, reglamentos, contratos y acuerdos</t>
  </si>
  <si>
    <t>Documentación de formación</t>
  </si>
  <si>
    <t>Visitantes</t>
  </si>
  <si>
    <t>Otros empleados</t>
  </si>
  <si>
    <t>Alta dirección</t>
  </si>
  <si>
    <t>Empleados remotos</t>
  </si>
  <si>
    <t>Empleados con experiencia específica (por ejemplo, administradores de sistemas, diseñadores, desarrolladores de software, expertos en seguridad, etc.)</t>
  </si>
  <si>
    <t>Dirección intermedia</t>
  </si>
  <si>
    <t>Suministro eléctrico (electricidad)</t>
  </si>
  <si>
    <t>Servicios de terceros utilizados a través de Internet (por ejemplo, SaaS)</t>
  </si>
  <si>
    <t>Personal externalizado (por ejemplo, autónomos o contratistas)</t>
  </si>
  <si>
    <t>Limpieza y mantenimiento de instalaciones</t>
  </si>
  <si>
    <t>Auditores, autoridades supervisoras</t>
  </si>
  <si>
    <t>Consultores</t>
  </si>
  <si>
    <t>Servicios legales</t>
  </si>
  <si>
    <t>Servicios de correo y mensajería</t>
  </si>
  <si>
    <t>Mantenimiento de software y bases de datos</t>
  </si>
  <si>
    <t>Mantenimiento de equipos informáticos</t>
  </si>
  <si>
    <t>Servicios de comunicación (voz, Internet, etc.)</t>
  </si>
  <si>
    <t>id_act</t>
  </si>
  <si>
    <t>id_ame</t>
  </si>
  <si>
    <t>Id_rel</t>
  </si>
  <si>
    <t>Activo</t>
  </si>
  <si>
    <t>id_vul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</si>
</sst>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color rgb="FF313B3D"/>
      <name val="Roboto"/>
    </font>
    <font>
      <sz val="8"/>
      <color rgb="FF313B3D"/>
      <name val="Roboto"/>
    </font>
    <font>
      <sz val="7"/>
      <color rgb="FF313B3D"/>
      <name val="Roboto"/>
    </font>
    <font>
      <sz val="8"/>
      <color rgb="FFFFFFFF"/>
      <name val="Roboto"/>
    </font>
    <font>
      <b/>
      <sz val="8"/>
      <color rgb="FFFFFFFF"/>
      <name val="Roboto"/>
    </font>
    <font>
      <b/>
      <sz val="7"/>
      <color rgb="FF313B3D"/>
      <name val="Roboto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32B2D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medium">
        <color rgb="FF4F5557"/>
      </left>
      <right style="medium">
        <color rgb="FF4F5557"/>
      </right>
      <top style="medium">
        <color rgb="FF4F5557"/>
      </top>
      <bottom style="medium">
        <color rgb="FF4F5557"/>
      </bottom>
      <diagonal/>
    </border>
    <border>
      <left/>
      <right style="medium">
        <color rgb="FFCCCCCC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0" fillId="3" borderId="0" xfId="0" applyFill="1"/>
    <xf numFmtId="0" fontId="2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3" borderId="0" xfId="0" applyFont="1" applyFill="1" applyAlignment="1">
      <alignment vertical="center" wrapText="1"/>
    </xf>
    <xf numFmtId="0" fontId="4" fillId="0" borderId="1" xfId="0" applyFont="1" applyBorder="1" applyAlignment="1">
      <alignment horizontal="left" vertical="center" wrapText="1" indent="1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7" fillId="0" borderId="0" xfId="0" applyFont="1"/>
    <xf numFmtId="0" fontId="3" fillId="0" borderId="5" xfId="0" applyFont="1" applyBorder="1" applyAlignment="1">
      <alignment horizontal="left" vertical="center" indent="1"/>
    </xf>
    <xf numFmtId="0" fontId="3" fillId="0" borderId="6" xfId="0" applyFont="1" applyBorder="1" applyAlignment="1">
      <alignment horizontal="left" vertical="center" indent="1"/>
    </xf>
    <xf numFmtId="0" fontId="3" fillId="0" borderId="7" xfId="0" applyFont="1" applyBorder="1" applyAlignment="1">
      <alignment horizontal="left" vertical="center" indent="1"/>
    </xf>
    <xf numFmtId="0" fontId="3" fillId="0" borderId="8" xfId="0" applyFont="1" applyBorder="1" applyAlignment="1">
      <alignment horizontal="left" vertical="center" indent="1"/>
    </xf>
    <xf numFmtId="0" fontId="7" fillId="0" borderId="9" xfId="0" applyFont="1" applyBorder="1"/>
    <xf numFmtId="0" fontId="0" fillId="0" borderId="10" xfId="0" applyBorder="1"/>
    <xf numFmtId="0" fontId="7" fillId="0" borderId="3" xfId="0" applyFont="1" applyBorder="1"/>
    <xf numFmtId="0" fontId="7" fillId="0" borderId="4" xfId="0" applyFont="1" applyBorder="1"/>
    <xf numFmtId="0" fontId="0" fillId="0" borderId="0" xfId="0" applyBorder="1"/>
    <xf numFmtId="0" fontId="7" fillId="0" borderId="0" xfId="0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" refreshedDate="46268.354221527778" createdVersion="8" refreshedVersion="8" minRefreshableVersion="3" recordCount="92" xr:uid="{84538D11-57D0-4413-AD6E-D9F12678F311}">
  <cacheSource type="worksheet">
    <worksheetSource ref="E6:E98" sheet="Combinaciones"/>
  </cacheSource>
  <cacheFields count="1">
    <cacheField name="Threats" numFmtId="0">
      <sharedItems count="48">
        <s v="Manipulation or destruction of equipment"/>
        <s v="Unauthorized entry into facilities, rooms or offices"/>
        <s v="Theft, vandalism, or sabotage"/>
        <s v="Terrorist attack (bomb, shooting, etc.)"/>
        <s v="Fire"/>
        <s v="Flood"/>
        <s v="Other disasters (natural)"/>
        <s v="Lightning strike"/>
        <s v="Earthquake"/>
        <s v="Storm"/>
        <s v="Industrial accident"/>
        <s v="Interruption of communication services"/>
        <s v="Unauthorized access to equipment, cabinets, etc."/>
        <s v="Concealing user identity"/>
        <s v="Eavesdroppng"/>
        <s v="Equipment tampering"/>
        <s v="Denial of service attack"/>
        <s v="Breakdown of communication links"/>
        <s v="Equipment failure"/>
        <s v="Maintenance errors"/>
        <s v="Breach of contracts or agreements"/>
        <s v="Breach of laws or regulations"/>
        <s v="Improper use of IT systems or information"/>
        <s v="Unintentional change of data in an information system"/>
        <s v="Unintentional access to information system"/>
        <s v="Unintentional installation of software"/>
        <s v="Unintentional use of licensed materials"/>
        <s v="Unintentional use of untested or prohibited code"/>
        <s v="Unintentional user error"/>
        <s v="Unintentional damage incurred during penetration testing"/>
        <s v="Unauthorized use, manipulation or destruction of software"/>
        <s v="Infection with malicious software (e.g., virus, trojan, etc.)"/>
        <s v="Misuse of audit tools"/>
        <s v="Access to information system with malicious intent"/>
        <s v="Installation of software with malicious intent"/>
        <s v="Use of licensed materials with malicious intent"/>
        <s v="Use of unauthorized or untested code with malicious intent"/>
        <s v="Malicious user error"/>
        <s v="Inappropriate handling of authentication information (e.g. passwords)"/>
        <s v="Malicious disclosure of passwords"/>
        <s v="Application error"/>
        <s v="Unintentional disclosure of data / information"/>
        <s v="Industrial espionage"/>
        <s v="Unintentional access to physical data"/>
        <s v="Data / information theft"/>
        <s v="Malicious leakage/disclosure of information"/>
        <s v="Errors or interruption of service of third-party providers"/>
        <s v="Attack through outsourced equipment/service (compromising supply chain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0"/>
  </r>
  <r>
    <x v="2"/>
  </r>
  <r>
    <x v="12"/>
  </r>
  <r>
    <x v="13"/>
  </r>
  <r>
    <x v="14"/>
  </r>
  <r>
    <x v="3"/>
  </r>
  <r>
    <x v="15"/>
  </r>
  <r>
    <x v="2"/>
  </r>
  <r>
    <x v="14"/>
  </r>
  <r>
    <x v="3"/>
  </r>
  <r>
    <x v="16"/>
  </r>
  <r>
    <x v="17"/>
  </r>
  <r>
    <x v="18"/>
  </r>
  <r>
    <x v="14"/>
  </r>
  <r>
    <x v="16"/>
  </r>
  <r>
    <x v="19"/>
  </r>
  <r>
    <x v="14"/>
  </r>
  <r>
    <x v="17"/>
  </r>
  <r>
    <x v="0"/>
  </r>
  <r>
    <x v="2"/>
  </r>
  <r>
    <x v="13"/>
  </r>
  <r>
    <x v="14"/>
  </r>
  <r>
    <x v="15"/>
  </r>
  <r>
    <x v="16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22"/>
  </r>
  <r>
    <x v="38"/>
  </r>
  <r>
    <x v="30"/>
  </r>
  <r>
    <x v="31"/>
  </r>
  <r>
    <x v="13"/>
  </r>
  <r>
    <x v="39"/>
  </r>
  <r>
    <x v="33"/>
  </r>
  <r>
    <x v="30"/>
  </r>
  <r>
    <x v="31"/>
  </r>
  <r>
    <x v="14"/>
  </r>
  <r>
    <x v="40"/>
  </r>
  <r>
    <x v="40"/>
  </r>
  <r>
    <x v="20"/>
  </r>
  <r>
    <x v="23"/>
  </r>
  <r>
    <x v="37"/>
  </r>
  <r>
    <x v="40"/>
  </r>
  <r>
    <x v="20"/>
  </r>
  <r>
    <x v="21"/>
  </r>
  <r>
    <x v="41"/>
  </r>
  <r>
    <x v="22"/>
  </r>
  <r>
    <x v="23"/>
  </r>
  <r>
    <x v="42"/>
  </r>
  <r>
    <x v="20"/>
  </r>
  <r>
    <x v="21"/>
  </r>
  <r>
    <x v="41"/>
  </r>
  <r>
    <x v="22"/>
  </r>
  <r>
    <x v="43"/>
  </r>
  <r>
    <x v="44"/>
  </r>
  <r>
    <x v="42"/>
  </r>
  <r>
    <x v="45"/>
  </r>
  <r>
    <x v="42"/>
  </r>
  <r>
    <x v="46"/>
  </r>
  <r>
    <x v="46"/>
  </r>
  <r>
    <x v="21"/>
  </r>
  <r>
    <x v="20"/>
  </r>
  <r>
    <x v="21"/>
  </r>
  <r>
    <x v="21"/>
  </r>
  <r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710AA-02C3-4EFE-BA52-A7AC9438760C}" name="TablaDinámica3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52" firstHeaderRow="1" firstDataRow="1" firstDataCol="1"/>
  <pivotFields count="1">
    <pivotField axis="axisRow" showAll="0">
      <items count="49">
        <item x="33"/>
        <item x="40"/>
        <item x="47"/>
        <item x="20"/>
        <item x="21"/>
        <item x="17"/>
        <item x="13"/>
        <item x="44"/>
        <item x="16"/>
        <item x="8"/>
        <item x="14"/>
        <item x="18"/>
        <item x="15"/>
        <item x="46"/>
        <item x="4"/>
        <item x="5"/>
        <item x="22"/>
        <item x="38"/>
        <item x="10"/>
        <item x="42"/>
        <item x="31"/>
        <item x="34"/>
        <item x="11"/>
        <item x="7"/>
        <item x="19"/>
        <item x="39"/>
        <item x="45"/>
        <item x="37"/>
        <item x="0"/>
        <item x="32"/>
        <item x="6"/>
        <item x="9"/>
        <item x="3"/>
        <item x="2"/>
        <item x="12"/>
        <item x="1"/>
        <item x="30"/>
        <item x="24"/>
        <item x="43"/>
        <item x="23"/>
        <item x="29"/>
        <item x="41"/>
        <item x="25"/>
        <item x="26"/>
        <item x="27"/>
        <item x="28"/>
        <item x="35"/>
        <item x="36"/>
        <item t="default"/>
      </items>
    </pivotField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C3ADE-3B9D-4A82-B7A0-6C5783E6A487}">
  <sheetPr filterMode="1"/>
  <dimension ref="A2:E72"/>
  <sheetViews>
    <sheetView topLeftCell="A54" workbookViewId="0">
      <selection activeCell="A3" sqref="A3:B72"/>
    </sheetView>
  </sheetViews>
  <sheetFormatPr baseColWidth="10" defaultRowHeight="14.25" x14ac:dyDescent="0.45"/>
  <cols>
    <col min="1" max="1" width="10.6640625" style="2"/>
    <col min="2" max="2" width="16.46484375" customWidth="1"/>
    <col min="3" max="3" width="46.53125" customWidth="1"/>
  </cols>
  <sheetData>
    <row r="2" spans="1:5" x14ac:dyDescent="0.45">
      <c r="A2" s="2" t="s">
        <v>211</v>
      </c>
      <c r="B2" s="1" t="s">
        <v>0</v>
      </c>
    </row>
    <row r="3" spans="1:5" x14ac:dyDescent="0.45">
      <c r="A3" s="2" t="s">
        <v>210</v>
      </c>
      <c r="B3" s="2" t="s">
        <v>1</v>
      </c>
      <c r="C3" s="4" t="str">
        <f>_xlfn.TRANSLATE(B3,"en","es")</f>
        <v>Oficinas / instalaciones</v>
      </c>
      <c r="E3">
        <f t="shared" ref="E3:E40" si="0">LEN(C3)</f>
        <v>24</v>
      </c>
    </row>
    <row r="4" spans="1:5" x14ac:dyDescent="0.45">
      <c r="A4" s="2" t="s">
        <v>210</v>
      </c>
      <c r="B4" s="2" t="s">
        <v>2</v>
      </c>
      <c r="C4" t="str">
        <f t="shared" ref="C4:C67" si="1">_xlfn.TRANSLATE(B4,"en","es")</f>
        <v>Instalaciones de producción</v>
      </c>
      <c r="E4">
        <f t="shared" si="0"/>
        <v>27</v>
      </c>
    </row>
    <row r="5" spans="1:5" ht="28.15" x14ac:dyDescent="0.45">
      <c r="A5" s="2" t="s">
        <v>210</v>
      </c>
      <c r="B5" s="2" t="s">
        <v>3</v>
      </c>
      <c r="C5" t="str">
        <f t="shared" si="1"/>
        <v>Cableado de infraestructuras (por ejemplo, eléctrico, de puesta a tierra, etc.)</v>
      </c>
      <c r="E5">
        <f t="shared" si="0"/>
        <v>79</v>
      </c>
    </row>
    <row r="6" spans="1:5" ht="37.5" x14ac:dyDescent="0.45">
      <c r="A6" s="2" t="s">
        <v>210</v>
      </c>
      <c r="B6" s="2" t="s">
        <v>4</v>
      </c>
      <c r="C6" t="str">
        <f t="shared" si="1"/>
        <v>Servicios básicos (por ejemplo, electricidad, agua, alcantarillado, climatización, aire acondicionado, supresión de incendios, etc.)</v>
      </c>
      <c r="E6">
        <f t="shared" si="0"/>
        <v>132</v>
      </c>
    </row>
    <row r="7" spans="1:5" x14ac:dyDescent="0.45">
      <c r="A7" s="2" t="s">
        <v>210</v>
      </c>
      <c r="B7" s="2" t="s">
        <v>5</v>
      </c>
      <c r="C7" s="4" t="str">
        <f t="shared" si="1"/>
        <v>Sala de servidores o centro de datos</v>
      </c>
      <c r="E7">
        <f t="shared" si="0"/>
        <v>36</v>
      </c>
    </row>
    <row r="8" spans="1:5" x14ac:dyDescent="0.45">
      <c r="A8" s="2" t="s">
        <v>210</v>
      </c>
      <c r="B8" s="2" t="s">
        <v>6</v>
      </c>
      <c r="C8" t="str">
        <f t="shared" si="1"/>
        <v>Espacio de trabajo remoto</v>
      </c>
      <c r="E8">
        <f t="shared" si="0"/>
        <v>25</v>
      </c>
    </row>
    <row r="9" spans="1:5" x14ac:dyDescent="0.45">
      <c r="A9" s="2" t="s">
        <v>210</v>
      </c>
      <c r="B9" s="2" t="s">
        <v>7</v>
      </c>
      <c r="C9" t="str">
        <f t="shared" si="1"/>
        <v>Archivos</v>
      </c>
      <c r="E9">
        <f t="shared" si="0"/>
        <v>8</v>
      </c>
    </row>
    <row r="10" spans="1:5" x14ac:dyDescent="0.45">
      <c r="A10" s="2" t="s">
        <v>210</v>
      </c>
      <c r="B10" s="2" t="s">
        <v>8</v>
      </c>
      <c r="C10" t="str">
        <f t="shared" si="1"/>
        <v>Almacenes</v>
      </c>
      <c r="E10">
        <f t="shared" si="0"/>
        <v>9</v>
      </c>
    </row>
    <row r="11" spans="1:5" x14ac:dyDescent="0.45">
      <c r="A11" s="2" t="s">
        <v>210</v>
      </c>
      <c r="B11" s="2" t="s">
        <v>9</v>
      </c>
      <c r="C11" t="str">
        <f t="shared" si="1"/>
        <v>Cajas fuertes</v>
      </c>
      <c r="E11">
        <f t="shared" si="0"/>
        <v>13</v>
      </c>
    </row>
    <row r="12" spans="1:5" x14ac:dyDescent="0.45">
      <c r="A12" s="2" t="s">
        <v>210</v>
      </c>
      <c r="B12" s="2" t="s">
        <v>10</v>
      </c>
      <c r="C12" t="str">
        <f t="shared" si="1"/>
        <v>Gabinetes</v>
      </c>
      <c r="E12">
        <f t="shared" si="0"/>
        <v>9</v>
      </c>
    </row>
    <row r="13" spans="1:5" ht="18.75" x14ac:dyDescent="0.45">
      <c r="A13" s="2" t="s">
        <v>210</v>
      </c>
      <c r="B13" s="2" t="s">
        <v>11</v>
      </c>
      <c r="C13" t="str">
        <f t="shared" si="1"/>
        <v>Dispositivos de alimentación unitrrumpible (SAI)</v>
      </c>
      <c r="E13">
        <f t="shared" si="0"/>
        <v>48</v>
      </c>
    </row>
    <row r="14" spans="1:5" x14ac:dyDescent="0.45">
      <c r="A14" s="2" t="s">
        <v>210</v>
      </c>
      <c r="B14" s="2" t="s">
        <v>12</v>
      </c>
      <c r="C14" t="str">
        <f t="shared" si="1"/>
        <v>Generadores eléctricos</v>
      </c>
      <c r="E14">
        <f t="shared" si="0"/>
        <v>22</v>
      </c>
    </row>
    <row r="15" spans="1:5" x14ac:dyDescent="0.45">
      <c r="A15" s="2" t="s">
        <v>210</v>
      </c>
      <c r="B15" s="2" t="s">
        <v>13</v>
      </c>
      <c r="C15" t="str">
        <f t="shared" si="1"/>
        <v>Vehículos</v>
      </c>
      <c r="E15">
        <f t="shared" si="0"/>
        <v>9</v>
      </c>
    </row>
    <row r="16" spans="1:5" x14ac:dyDescent="0.45">
      <c r="A16" s="2" t="s">
        <v>210</v>
      </c>
      <c r="B16" s="2" t="s">
        <v>14</v>
      </c>
      <c r="C16" t="str">
        <f t="shared" si="1"/>
        <v>Teclas</v>
      </c>
      <c r="E16">
        <f t="shared" si="0"/>
        <v>6</v>
      </c>
    </row>
    <row r="17" spans="1:5" x14ac:dyDescent="0.45">
      <c r="A17" s="2" t="s">
        <v>210</v>
      </c>
      <c r="B17" s="2" t="s">
        <v>15</v>
      </c>
      <c r="C17" t="str">
        <f t="shared" si="1"/>
        <v>Sistemas de alarma</v>
      </c>
      <c r="E17">
        <f t="shared" si="0"/>
        <v>18</v>
      </c>
    </row>
    <row r="18" spans="1:5" ht="18.75" x14ac:dyDescent="0.45">
      <c r="A18" s="2" t="s">
        <v>210</v>
      </c>
      <c r="B18" s="2" t="s">
        <v>16</v>
      </c>
      <c r="C18" t="str">
        <f t="shared" si="1"/>
        <v>Cámaras de vigilancia y CCTV</v>
      </c>
      <c r="E18">
        <f t="shared" si="0"/>
        <v>28</v>
      </c>
    </row>
    <row r="19" spans="1:5" x14ac:dyDescent="0.45">
      <c r="A19" s="2" t="s">
        <v>210</v>
      </c>
      <c r="B19" s="2" t="s">
        <v>17</v>
      </c>
      <c r="C19" t="str">
        <f t="shared" si="1"/>
        <v>Tarjetas y lectores de tarjetas</v>
      </c>
      <c r="E19">
        <f t="shared" si="0"/>
        <v>31</v>
      </c>
    </row>
    <row r="20" spans="1:5" ht="20.65" hidden="1" thickBot="1" x14ac:dyDescent="0.5">
      <c r="B20" s="3" t="s">
        <v>18</v>
      </c>
      <c r="C20" t="str">
        <f t="shared" si="1"/>
        <v>Equipos de TI y comunicaciones</v>
      </c>
      <c r="E20">
        <f t="shared" si="0"/>
        <v>30</v>
      </c>
    </row>
    <row r="21" spans="1:5" hidden="1" x14ac:dyDescent="0.45">
      <c r="B21" s="1" t="s">
        <v>19</v>
      </c>
      <c r="C21" t="str">
        <f t="shared" si="1"/>
        <v>Activos</v>
      </c>
      <c r="E21">
        <f t="shared" si="0"/>
        <v>7</v>
      </c>
    </row>
    <row r="22" spans="1:5" ht="28.15" x14ac:dyDescent="0.45">
      <c r="A22" s="2" t="s">
        <v>18</v>
      </c>
      <c r="B22" s="2" t="s">
        <v>20</v>
      </c>
      <c r="C22" s="4" t="str">
        <f t="shared" si="1"/>
        <v>Ordenadores de sobremesa</v>
      </c>
      <c r="E22">
        <f t="shared" si="0"/>
        <v>24</v>
      </c>
    </row>
    <row r="23" spans="1:5" ht="28.15" x14ac:dyDescent="0.45">
      <c r="A23" s="2" t="s">
        <v>18</v>
      </c>
      <c r="B23" s="2" t="s">
        <v>21</v>
      </c>
      <c r="C23" t="str">
        <f t="shared" si="1"/>
        <v>Cableado IT (por ejemplo, coaxial, fibra, ethernet, etc.)</v>
      </c>
      <c r="E23">
        <f t="shared" si="0"/>
        <v>57</v>
      </c>
    </row>
    <row r="24" spans="1:5" ht="28.15" x14ac:dyDescent="0.45">
      <c r="A24" s="2" t="s">
        <v>18</v>
      </c>
      <c r="B24" s="2" t="s">
        <v>22</v>
      </c>
      <c r="C24" s="4" t="str">
        <f t="shared" si="1"/>
        <v>Servidores</v>
      </c>
      <c r="E24">
        <f t="shared" si="0"/>
        <v>10</v>
      </c>
    </row>
    <row r="25" spans="1:5" ht="28.15" x14ac:dyDescent="0.45">
      <c r="A25" s="2" t="s">
        <v>18</v>
      </c>
      <c r="B25" s="2" t="s">
        <v>23</v>
      </c>
      <c r="C25" t="str">
        <f t="shared" si="1"/>
        <v>Equipos de medición</v>
      </c>
      <c r="E25">
        <f t="shared" si="0"/>
        <v>19</v>
      </c>
    </row>
    <row r="26" spans="1:5" ht="28.15" x14ac:dyDescent="0.45">
      <c r="A26" s="2" t="s">
        <v>18</v>
      </c>
      <c r="B26" s="2" t="s">
        <v>24</v>
      </c>
      <c r="C26" t="str">
        <f t="shared" si="1"/>
        <v>Teléfonos de sobremesa</v>
      </c>
      <c r="E26">
        <f t="shared" si="0"/>
        <v>22</v>
      </c>
    </row>
    <row r="27" spans="1:5" ht="46.9" x14ac:dyDescent="0.45">
      <c r="A27" s="2" t="s">
        <v>18</v>
      </c>
      <c r="B27" s="2" t="s">
        <v>25</v>
      </c>
      <c r="C27" t="str">
        <f t="shared" si="1"/>
        <v>WAN inalámbrico (incluye activos WAN además de wi-fi y/o bluetooth, routers, adaptadores, puntos de acceso, etc.)</v>
      </c>
      <c r="E27">
        <f t="shared" si="0"/>
        <v>113</v>
      </c>
    </row>
    <row r="28" spans="1:5" ht="37.5" x14ac:dyDescent="0.45">
      <c r="A28" s="2" t="s">
        <v>18</v>
      </c>
      <c r="B28" s="2" t="s">
        <v>26</v>
      </c>
      <c r="C28" t="str">
        <f t="shared" si="1"/>
        <v>LAN inalámbrica (incluye wi-fi y/o bluetooth, routers, adaptadores, puntos de acceso, etc.)</v>
      </c>
      <c r="E28">
        <f t="shared" si="0"/>
        <v>91</v>
      </c>
    </row>
    <row r="29" spans="1:5" ht="28.15" x14ac:dyDescent="0.45">
      <c r="A29" s="2" t="s">
        <v>18</v>
      </c>
      <c r="B29" s="2" t="s">
        <v>27</v>
      </c>
      <c r="C29" t="str">
        <f t="shared" si="1"/>
        <v>Medios de almacenamiento</v>
      </c>
      <c r="E29">
        <f t="shared" si="0"/>
        <v>24</v>
      </c>
    </row>
    <row r="30" spans="1:5" ht="28.15" x14ac:dyDescent="0.45">
      <c r="A30" s="2" t="s">
        <v>18</v>
      </c>
      <c r="B30" s="2" t="s">
        <v>28</v>
      </c>
      <c r="C30" t="str">
        <f t="shared" si="1"/>
        <v>Impresoras, faxes, escáneres, fotocopiadoras y otros periféricos</v>
      </c>
      <c r="E30">
        <f t="shared" si="0"/>
        <v>64</v>
      </c>
    </row>
    <row r="31" spans="1:5" ht="28.15" x14ac:dyDescent="0.45">
      <c r="A31" s="2" t="s">
        <v>18</v>
      </c>
      <c r="B31" s="2" t="s">
        <v>29</v>
      </c>
      <c r="C31" t="str">
        <f t="shared" si="1"/>
        <v>Equipos de red (por ejemplo, cortafuegos, routers y switches)</v>
      </c>
      <c r="E31">
        <f t="shared" si="0"/>
        <v>61</v>
      </c>
    </row>
    <row r="32" spans="1:5" ht="37.5" x14ac:dyDescent="0.45">
      <c r="A32" s="2" t="s">
        <v>18</v>
      </c>
      <c r="B32" s="2" t="s">
        <v>30</v>
      </c>
      <c r="C32" s="4" t="str">
        <f t="shared" si="1"/>
        <v>Dispositivos móviles (por ejemplo, portátiles, portátiles, tabletas, smartphones, PDAs)</v>
      </c>
      <c r="E32">
        <f t="shared" si="0"/>
        <v>87</v>
      </c>
    </row>
    <row r="33" spans="1:5" ht="14.65" hidden="1" thickBot="1" x14ac:dyDescent="0.5">
      <c r="B33" s="3" t="s">
        <v>31</v>
      </c>
      <c r="C33" t="str">
        <f t="shared" si="1"/>
        <v>Software y bases de datos</v>
      </c>
      <c r="E33">
        <f t="shared" si="0"/>
        <v>25</v>
      </c>
    </row>
    <row r="34" spans="1:5" hidden="1" x14ac:dyDescent="0.45">
      <c r="B34" s="1" t="s">
        <v>19</v>
      </c>
      <c r="C34" t="str">
        <f t="shared" si="1"/>
        <v>Activos</v>
      </c>
      <c r="E34">
        <f t="shared" si="0"/>
        <v>7</v>
      </c>
    </row>
    <row r="35" spans="1:5" ht="18.75" x14ac:dyDescent="0.45">
      <c r="A35" s="2" t="s">
        <v>31</v>
      </c>
      <c r="B35" s="2" t="s">
        <v>32</v>
      </c>
      <c r="C35" s="4" t="str">
        <f t="shared" si="1"/>
        <v>Bases de datos</v>
      </c>
      <c r="E35">
        <f t="shared" si="0"/>
        <v>14</v>
      </c>
    </row>
    <row r="36" spans="1:5" ht="18.75" x14ac:dyDescent="0.45">
      <c r="A36" s="2" t="s">
        <v>31</v>
      </c>
      <c r="B36" s="2" t="s">
        <v>33</v>
      </c>
      <c r="C36" s="4" t="str">
        <f t="shared" si="1"/>
        <v>Diversas herramientas de software</v>
      </c>
      <c r="E36">
        <f t="shared" si="0"/>
        <v>33</v>
      </c>
    </row>
    <row r="37" spans="1:5" ht="18.75" x14ac:dyDescent="0.45">
      <c r="A37" s="2" t="s">
        <v>31</v>
      </c>
      <c r="B37" s="2" t="s">
        <v>34</v>
      </c>
      <c r="C37" t="str">
        <f t="shared" si="1"/>
        <v>Sistemas de gestión de bases de datos</v>
      </c>
      <c r="E37">
        <f t="shared" si="0"/>
        <v>37</v>
      </c>
    </row>
    <row r="38" spans="1:5" ht="18.75" x14ac:dyDescent="0.45">
      <c r="A38" s="2" t="s">
        <v>31</v>
      </c>
      <c r="B38" s="2" t="s">
        <v>35</v>
      </c>
      <c r="C38" t="str">
        <f t="shared" si="1"/>
        <v>Sistemas operativos</v>
      </c>
      <c r="E38">
        <f t="shared" si="0"/>
        <v>19</v>
      </c>
    </row>
    <row r="39" spans="1:5" ht="18.75" x14ac:dyDescent="0.45">
      <c r="A39" s="2" t="s">
        <v>31</v>
      </c>
      <c r="B39" s="2" t="s">
        <v>36</v>
      </c>
      <c r="C39" s="4" t="str">
        <f t="shared" si="1"/>
        <v>Software personalizado de terceros</v>
      </c>
      <c r="E39">
        <f t="shared" si="0"/>
        <v>34</v>
      </c>
    </row>
    <row r="40" spans="1:5" ht="18.75" x14ac:dyDescent="0.45">
      <c r="A40" s="2" t="s">
        <v>31</v>
      </c>
      <c r="B40" s="2" t="s">
        <v>37</v>
      </c>
      <c r="C40" t="str">
        <f t="shared" si="1"/>
        <v>Software desarrollado internamente</v>
      </c>
      <c r="E40">
        <f t="shared" si="0"/>
        <v>34</v>
      </c>
    </row>
    <row r="41" spans="1:5" ht="28.15" x14ac:dyDescent="0.45">
      <c r="A41" s="2" t="s">
        <v>31</v>
      </c>
      <c r="B41" s="2" t="s">
        <v>38</v>
      </c>
      <c r="C41" t="str">
        <f t="shared" si="1"/>
        <v>Aplicaciones de terceros listas para usar (por ejemplo, suite de oficina)</v>
      </c>
      <c r="E41">
        <f>LEN(C41)</f>
        <v>73</v>
      </c>
    </row>
    <row r="42" spans="1:5" ht="30.75" hidden="1" thickBot="1" x14ac:dyDescent="0.5">
      <c r="B42" s="3" t="s">
        <v>39</v>
      </c>
      <c r="C42" t="str">
        <f t="shared" si="1"/>
        <v>Otros documentos y datos (en formatos electrónicos y otros)</v>
      </c>
    </row>
    <row r="43" spans="1:5" hidden="1" x14ac:dyDescent="0.45">
      <c r="B43" s="1" t="s">
        <v>19</v>
      </c>
      <c r="C43" t="str">
        <f t="shared" si="1"/>
        <v>Activos</v>
      </c>
    </row>
    <row r="44" spans="1:5" ht="46.9" x14ac:dyDescent="0.45">
      <c r="A44" s="2" t="s">
        <v>39</v>
      </c>
      <c r="B44" s="2" t="s">
        <v>40</v>
      </c>
      <c r="C44" t="str">
        <f t="shared" si="1"/>
        <v>Documentación del equipo</v>
      </c>
    </row>
    <row r="45" spans="1:5" ht="46.9" x14ac:dyDescent="0.45">
      <c r="A45" s="2" t="s">
        <v>39</v>
      </c>
      <c r="B45" s="2" t="s">
        <v>41</v>
      </c>
      <c r="C45" t="str">
        <f t="shared" si="1"/>
        <v>Registros y registros</v>
      </c>
    </row>
    <row r="46" spans="1:5" ht="46.9" x14ac:dyDescent="0.45">
      <c r="A46" s="2" t="s">
        <v>39</v>
      </c>
      <c r="B46" s="2" t="s">
        <v>42</v>
      </c>
      <c r="C46" t="str">
        <f t="shared" si="1"/>
        <v>Datos de terceros (sin incluir datos personales)</v>
      </c>
    </row>
    <row r="47" spans="1:5" ht="46.9" x14ac:dyDescent="0.45">
      <c r="A47" s="2" t="s">
        <v>39</v>
      </c>
      <c r="B47" s="2" t="s">
        <v>43</v>
      </c>
      <c r="C47" t="str">
        <f t="shared" si="1"/>
        <v>Datos personales (por ejemplo, de empleados o clientes)</v>
      </c>
    </row>
    <row r="48" spans="1:5" ht="46.9" x14ac:dyDescent="0.45">
      <c r="A48" s="2" t="s">
        <v>39</v>
      </c>
      <c r="B48" s="2" t="s">
        <v>44</v>
      </c>
      <c r="C48" t="str">
        <f t="shared" si="1"/>
        <v>Datos propietarios</v>
      </c>
    </row>
    <row r="49" spans="1:3" ht="46.9" x14ac:dyDescent="0.45">
      <c r="A49" s="2" t="s">
        <v>39</v>
      </c>
      <c r="B49" s="2" t="s">
        <v>45</v>
      </c>
      <c r="C49" t="str">
        <f t="shared" si="1"/>
        <v>Políticas, procedimientos, planes e instrucciones de trabajo</v>
      </c>
    </row>
    <row r="50" spans="1:3" ht="46.9" x14ac:dyDescent="0.45">
      <c r="A50" s="2" t="s">
        <v>39</v>
      </c>
      <c r="B50" s="2" t="s">
        <v>46</v>
      </c>
      <c r="C50" t="str">
        <f t="shared" si="1"/>
        <v>Leyes, reglamentos, contratos y acuerdos</v>
      </c>
    </row>
    <row r="51" spans="1:3" ht="46.9" x14ac:dyDescent="0.45">
      <c r="A51" s="2" t="s">
        <v>39</v>
      </c>
      <c r="B51" s="2" t="s">
        <v>47</v>
      </c>
      <c r="C51" t="str">
        <f t="shared" si="1"/>
        <v>Documentación de formación</v>
      </c>
    </row>
    <row r="52" spans="1:3" ht="14.65" hidden="1" thickBot="1" x14ac:dyDescent="0.5">
      <c r="B52" s="3" t="s">
        <v>48</v>
      </c>
      <c r="C52" t="str">
        <f t="shared" si="1"/>
        <v>Recursos humanos</v>
      </c>
    </row>
    <row r="53" spans="1:3" hidden="1" x14ac:dyDescent="0.45">
      <c r="B53" s="1" t="s">
        <v>19</v>
      </c>
      <c r="C53" t="str">
        <f t="shared" si="1"/>
        <v>Activos</v>
      </c>
    </row>
    <row r="54" spans="1:3" ht="18.75" x14ac:dyDescent="0.45">
      <c r="A54" s="2" t="s">
        <v>48</v>
      </c>
      <c r="B54" s="2" t="s">
        <v>49</v>
      </c>
      <c r="C54" t="str">
        <f t="shared" si="1"/>
        <v>Visitantes</v>
      </c>
    </row>
    <row r="55" spans="1:3" ht="18.75" x14ac:dyDescent="0.45">
      <c r="A55" s="2" t="s">
        <v>48</v>
      </c>
      <c r="B55" s="2" t="s">
        <v>50</v>
      </c>
      <c r="C55" t="str">
        <f t="shared" si="1"/>
        <v>Otros empleados</v>
      </c>
    </row>
    <row r="56" spans="1:3" ht="18.75" x14ac:dyDescent="0.45">
      <c r="A56" s="2" t="s">
        <v>48</v>
      </c>
      <c r="B56" s="2" t="s">
        <v>51</v>
      </c>
      <c r="C56" t="str">
        <f t="shared" si="1"/>
        <v>Alta dirección</v>
      </c>
    </row>
    <row r="57" spans="1:3" ht="18.75" x14ac:dyDescent="0.45">
      <c r="A57" s="2" t="s">
        <v>48</v>
      </c>
      <c r="B57" s="2" t="s">
        <v>52</v>
      </c>
      <c r="C57" s="4" t="str">
        <f t="shared" si="1"/>
        <v>Empleados remotos</v>
      </c>
    </row>
    <row r="58" spans="1:3" ht="46.9" x14ac:dyDescent="0.45">
      <c r="A58" s="2" t="s">
        <v>48</v>
      </c>
      <c r="B58" s="2" t="s">
        <v>53</v>
      </c>
      <c r="C58" t="str">
        <f t="shared" si="1"/>
        <v>Empleados con experiencia específica (por ejemplo, administradores de sistemas, diseñadores, desarrolladores de software, expertos en seguridad, etc.)</v>
      </c>
    </row>
    <row r="59" spans="1:3" ht="18.75" x14ac:dyDescent="0.45">
      <c r="A59" s="2" t="s">
        <v>48</v>
      </c>
      <c r="B59" s="2" t="s">
        <v>54</v>
      </c>
      <c r="C59" t="str">
        <f t="shared" si="1"/>
        <v>Dirección intermedia</v>
      </c>
    </row>
    <row r="60" spans="1:3" ht="14.65" hidden="1" thickBot="1" x14ac:dyDescent="0.5">
      <c r="B60" s="3" t="s">
        <v>55</v>
      </c>
      <c r="C60" t="str">
        <f t="shared" si="1"/>
        <v>Servicios de terceros</v>
      </c>
    </row>
    <row r="61" spans="1:3" hidden="1" x14ac:dyDescent="0.45">
      <c r="B61" s="1" t="s">
        <v>19</v>
      </c>
      <c r="C61" t="str">
        <f t="shared" si="1"/>
        <v>Activos</v>
      </c>
    </row>
    <row r="62" spans="1:3" ht="18.75" x14ac:dyDescent="0.45">
      <c r="A62" s="2" t="s">
        <v>55</v>
      </c>
      <c r="B62" s="2" t="s">
        <v>56</v>
      </c>
      <c r="C62" t="str">
        <f t="shared" si="1"/>
        <v>Suministro eléctrico (electricidad)</v>
      </c>
    </row>
    <row r="63" spans="1:3" ht="28.15" x14ac:dyDescent="0.45">
      <c r="A63" s="2" t="s">
        <v>55</v>
      </c>
      <c r="B63" s="2" t="s">
        <v>57</v>
      </c>
      <c r="C63" s="4" t="str">
        <f t="shared" si="1"/>
        <v>Servicios de terceros utilizados a través de Internet (por ejemplo, SaaS)</v>
      </c>
    </row>
    <row r="64" spans="1:3" ht="28.15" x14ac:dyDescent="0.45">
      <c r="A64" s="2" t="s">
        <v>55</v>
      </c>
      <c r="B64" s="2" t="s">
        <v>58</v>
      </c>
      <c r="C64" s="4" t="str">
        <f t="shared" si="1"/>
        <v>Personal externalizado (por ejemplo, autónomos o contratistas)</v>
      </c>
    </row>
    <row r="65" spans="1:3" ht="18.75" x14ac:dyDescent="0.45">
      <c r="A65" s="2" t="s">
        <v>55</v>
      </c>
      <c r="B65" s="2" t="s">
        <v>59</v>
      </c>
      <c r="C65" t="str">
        <f t="shared" si="1"/>
        <v>Limpieza y mantenimiento de instalaciones</v>
      </c>
    </row>
    <row r="66" spans="1:3" ht="18.75" x14ac:dyDescent="0.45">
      <c r="A66" s="2" t="s">
        <v>55</v>
      </c>
      <c r="B66" s="2" t="s">
        <v>60</v>
      </c>
      <c r="C66" t="str">
        <f t="shared" si="1"/>
        <v>Auditores, autoridades supervisoras</v>
      </c>
    </row>
    <row r="67" spans="1:3" ht="18.75" x14ac:dyDescent="0.45">
      <c r="A67" s="2" t="s">
        <v>55</v>
      </c>
      <c r="B67" s="2" t="s">
        <v>61</v>
      </c>
      <c r="C67" t="str">
        <f t="shared" si="1"/>
        <v>Consultores</v>
      </c>
    </row>
    <row r="68" spans="1:3" ht="18.75" x14ac:dyDescent="0.45">
      <c r="A68" s="2" t="s">
        <v>55</v>
      </c>
      <c r="B68" s="2" t="s">
        <v>62</v>
      </c>
      <c r="C68" t="str">
        <f t="shared" ref="C68:C72" si="2">_xlfn.TRANSLATE(B68,"en","es")</f>
        <v>Servicios legales</v>
      </c>
    </row>
    <row r="69" spans="1:3" ht="18.75" x14ac:dyDescent="0.45">
      <c r="A69" s="2" t="s">
        <v>55</v>
      </c>
      <c r="B69" s="2" t="s">
        <v>63</v>
      </c>
      <c r="C69" t="str">
        <f t="shared" si="2"/>
        <v>Servicios de correo y mensajería</v>
      </c>
    </row>
    <row r="70" spans="1:3" ht="18.75" x14ac:dyDescent="0.45">
      <c r="A70" s="2" t="s">
        <v>55</v>
      </c>
      <c r="B70" s="2" t="s">
        <v>64</v>
      </c>
      <c r="C70" t="str">
        <f t="shared" si="2"/>
        <v>Mantenimiento de software y bases de datos</v>
      </c>
    </row>
    <row r="71" spans="1:3" ht="18.75" x14ac:dyDescent="0.45">
      <c r="A71" s="2" t="s">
        <v>55</v>
      </c>
      <c r="B71" s="2" t="s">
        <v>65</v>
      </c>
      <c r="C71" t="str">
        <f t="shared" si="2"/>
        <v>Mantenimiento de equipos informáticos</v>
      </c>
    </row>
    <row r="72" spans="1:3" ht="18.75" x14ac:dyDescent="0.45">
      <c r="A72" s="2" t="s">
        <v>55</v>
      </c>
      <c r="B72" s="2" t="s">
        <v>66</v>
      </c>
      <c r="C72" t="str">
        <f t="shared" si="2"/>
        <v>Servicios de comunicación (voz, Internet, etc.)</v>
      </c>
    </row>
  </sheetData>
  <autoFilter ref="A2:E72" xr:uid="{E7FC3ADE-3B9D-4A82-B7A0-6C5783E6A487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F357A-3EB0-4046-9053-841010D3EF34}">
  <dimension ref="B2:C206"/>
  <sheetViews>
    <sheetView topLeftCell="A46" zoomScale="85" workbookViewId="0">
      <selection activeCell="C62" sqref="C62"/>
    </sheetView>
  </sheetViews>
  <sheetFormatPr baseColWidth="10" defaultRowHeight="14.25" x14ac:dyDescent="0.45"/>
  <cols>
    <col min="2" max="2" width="77.19921875" customWidth="1"/>
    <col min="3" max="3" width="70.9296875" bestFit="1" customWidth="1"/>
  </cols>
  <sheetData>
    <row r="2" spans="2:3" x14ac:dyDescent="0.45">
      <c r="B2" s="5" t="s">
        <v>19</v>
      </c>
    </row>
    <row r="3" spans="2:3" x14ac:dyDescent="0.45">
      <c r="B3" s="1" t="s">
        <v>67</v>
      </c>
    </row>
    <row r="4" spans="2:3" x14ac:dyDescent="0.45">
      <c r="B4" s="9" t="s">
        <v>1</v>
      </c>
      <c r="C4" t="str">
        <f t="shared" ref="C4:C67" si="0">_xlfn.TRANSLATE(B4,"en","es")</f>
        <v>Oficinas / instalaciones</v>
      </c>
    </row>
    <row r="5" spans="2:3" x14ac:dyDescent="0.45">
      <c r="B5" s="2" t="s">
        <v>68</v>
      </c>
      <c r="C5" t="str">
        <f t="shared" si="0"/>
        <v>Falta de mantenimiento o insuficiente</v>
      </c>
    </row>
    <row r="6" spans="2:3" x14ac:dyDescent="0.45">
      <c r="B6" s="2" t="s">
        <v>69</v>
      </c>
      <c r="C6" t="str">
        <f t="shared" si="0"/>
        <v>Infraestructura incompatible</v>
      </c>
    </row>
    <row r="7" spans="2:3" x14ac:dyDescent="0.45">
      <c r="B7" s="2" t="s">
        <v>70</v>
      </c>
      <c r="C7" t="str">
        <f t="shared" si="0"/>
        <v>Falta de controles de acceso a instalaciones, habitaciones u oficinas</v>
      </c>
    </row>
    <row r="8" spans="2:3" x14ac:dyDescent="0.45">
      <c r="B8" s="2" t="s">
        <v>71</v>
      </c>
      <c r="C8" t="str">
        <f t="shared" si="0"/>
        <v>Capacidad de infraestructura insuficiente</v>
      </c>
    </row>
    <row r="9" spans="2:3" x14ac:dyDescent="0.45">
      <c r="B9" s="2" t="s">
        <v>72</v>
      </c>
      <c r="C9" t="str">
        <f t="shared" si="0"/>
        <v>Control inadecuado de cambios en infraestructuras</v>
      </c>
    </row>
    <row r="10" spans="2:3" x14ac:dyDescent="0.45">
      <c r="B10" s="2" t="s">
        <v>73</v>
      </c>
      <c r="C10" t="str">
        <f t="shared" si="0"/>
        <v>Cableado eléctrico inadecuado</v>
      </c>
    </row>
    <row r="11" spans="2:3" x14ac:dyDescent="0.45">
      <c r="B11" s="2" t="s">
        <v>74</v>
      </c>
      <c r="C11" t="str">
        <f t="shared" si="0"/>
        <v>Falta de / mala auditoría interna de la infraestructura</v>
      </c>
    </row>
    <row r="12" spans="2:3" x14ac:dyDescent="0.45">
      <c r="B12" s="2" t="s">
        <v>75</v>
      </c>
      <c r="C12" t="str">
        <f t="shared" si="0"/>
        <v>Ubicación de infraestructuras sensibles a desastres naturales</v>
      </c>
    </row>
    <row r="13" spans="2:3" x14ac:dyDescent="0.45">
      <c r="B13" s="2" t="s">
        <v>76</v>
      </c>
      <c r="C13" t="str">
        <f t="shared" si="0"/>
        <v>Ubicación de la infraestructura sensible a fugas de agua</v>
      </c>
    </row>
    <row r="14" spans="2:3" x14ac:dyDescent="0.45">
      <c r="B14" s="2" t="s">
        <v>77</v>
      </c>
      <c r="C14" t="str">
        <f t="shared" si="0"/>
        <v>Sobredependencia de una sola infraestructura</v>
      </c>
    </row>
    <row r="15" spans="2:3" x14ac:dyDescent="0.45">
      <c r="B15" s="2" t="s">
        <v>78</v>
      </c>
      <c r="C15" t="str">
        <f t="shared" si="0"/>
        <v>Normas relacionadas con infraestructuras no claramente definidas</v>
      </c>
    </row>
    <row r="16" spans="2:3" x14ac:dyDescent="0.45">
      <c r="B16" s="2" t="s">
        <v>79</v>
      </c>
      <c r="C16" t="str">
        <f t="shared" si="0"/>
        <v>Uso de infraestructuras, equipos e instalaciones antiguas</v>
      </c>
    </row>
    <row r="17" spans="2:3" x14ac:dyDescent="0.45">
      <c r="B17" s="9" t="s">
        <v>5</v>
      </c>
      <c r="C17" t="str">
        <f t="shared" si="0"/>
        <v>Sala de servidores o centro de datos</v>
      </c>
    </row>
    <row r="18" spans="2:3" x14ac:dyDescent="0.45">
      <c r="B18" s="2" t="s">
        <v>68</v>
      </c>
      <c r="C18" t="str">
        <f t="shared" si="0"/>
        <v>Falta de mantenimiento o insuficiente</v>
      </c>
    </row>
    <row r="19" spans="2:3" x14ac:dyDescent="0.45">
      <c r="B19" s="2" t="s">
        <v>69</v>
      </c>
      <c r="C19" t="str">
        <f t="shared" si="0"/>
        <v>Infraestructura incompatible</v>
      </c>
    </row>
    <row r="20" spans="2:3" x14ac:dyDescent="0.45">
      <c r="B20" s="2" t="s">
        <v>70</v>
      </c>
      <c r="C20" t="str">
        <f t="shared" si="0"/>
        <v>Falta de controles de acceso a instalaciones, habitaciones u oficinas</v>
      </c>
    </row>
    <row r="21" spans="2:3" x14ac:dyDescent="0.45">
      <c r="B21" s="2" t="s">
        <v>71</v>
      </c>
      <c r="C21" t="str">
        <f t="shared" si="0"/>
        <v>Capacidad de infraestructura insuficiente</v>
      </c>
    </row>
    <row r="22" spans="2:3" x14ac:dyDescent="0.45">
      <c r="B22" s="2" t="s">
        <v>72</v>
      </c>
      <c r="C22" t="str">
        <f t="shared" si="0"/>
        <v>Control inadecuado de cambios en infraestructuras</v>
      </c>
    </row>
    <row r="23" spans="2:3" x14ac:dyDescent="0.45">
      <c r="B23" s="2" t="s">
        <v>73</v>
      </c>
      <c r="C23" t="str">
        <f t="shared" si="0"/>
        <v>Cableado eléctrico inadecuado</v>
      </c>
    </row>
    <row r="24" spans="2:3" x14ac:dyDescent="0.45">
      <c r="B24" s="2" t="s">
        <v>74</v>
      </c>
      <c r="C24" t="str">
        <f t="shared" si="0"/>
        <v>Falta de / mala auditoría interna de la infraestructura</v>
      </c>
    </row>
    <row r="25" spans="2:3" x14ac:dyDescent="0.45">
      <c r="B25" s="2" t="s">
        <v>75</v>
      </c>
      <c r="C25" t="str">
        <f t="shared" si="0"/>
        <v>Ubicación de infraestructuras sensibles a desastres naturales</v>
      </c>
    </row>
    <row r="26" spans="2:3" x14ac:dyDescent="0.45">
      <c r="B26" s="2" t="s">
        <v>76</v>
      </c>
      <c r="C26" t="str">
        <f t="shared" si="0"/>
        <v>Ubicación de la infraestructura sensible a fugas de agua</v>
      </c>
    </row>
    <row r="27" spans="2:3" x14ac:dyDescent="0.45">
      <c r="B27" s="2" t="s">
        <v>77</v>
      </c>
      <c r="C27" t="str">
        <f t="shared" si="0"/>
        <v>Sobredependencia de una sola infraestructura</v>
      </c>
    </row>
    <row r="28" spans="2:3" x14ac:dyDescent="0.45">
      <c r="B28" s="2" t="s">
        <v>78</v>
      </c>
      <c r="C28" t="str">
        <f t="shared" si="0"/>
        <v>Normas relacionadas con infraestructuras no claramente definidas</v>
      </c>
    </row>
    <row r="29" spans="2:3" ht="14.65" thickBot="1" x14ac:dyDescent="0.5">
      <c r="B29" s="2" t="s">
        <v>79</v>
      </c>
      <c r="C29" t="str">
        <f t="shared" si="0"/>
        <v>Uso de infraestructuras, equipos e instalaciones antiguas</v>
      </c>
    </row>
    <row r="30" spans="2:3" ht="14.65" thickBot="1" x14ac:dyDescent="0.5">
      <c r="B30" s="3" t="s">
        <v>18</v>
      </c>
      <c r="C30" t="str">
        <f t="shared" si="0"/>
        <v>Equipos de TI y comunicaciones</v>
      </c>
    </row>
    <row r="31" spans="2:3" x14ac:dyDescent="0.45">
      <c r="B31" s="5" t="s">
        <v>19</v>
      </c>
      <c r="C31" t="str">
        <f t="shared" si="0"/>
        <v>Activos</v>
      </c>
    </row>
    <row r="32" spans="2:3" x14ac:dyDescent="0.45">
      <c r="B32" s="1" t="s">
        <v>67</v>
      </c>
      <c r="C32" t="str">
        <f t="shared" si="0"/>
        <v>Vulnerabilidades</v>
      </c>
    </row>
    <row r="33" spans="2:3" x14ac:dyDescent="0.45">
      <c r="B33" s="9" t="s">
        <v>20</v>
      </c>
      <c r="C33" t="str">
        <f t="shared" si="0"/>
        <v>Ordenadores de sobremesa</v>
      </c>
    </row>
    <row r="34" spans="2:3" x14ac:dyDescent="0.45">
      <c r="B34" s="2" t="s">
        <v>80</v>
      </c>
      <c r="C34" t="str">
        <f t="shared" si="0"/>
        <v>Eliminación de medios de almacenamiento sin borrar datos</v>
      </c>
    </row>
    <row r="35" spans="2:3" x14ac:dyDescent="0.45">
      <c r="B35" s="2" t="s">
        <v>81</v>
      </c>
      <c r="C35" t="str">
        <f t="shared" si="0"/>
        <v>Mantenimiento inadecuado de equipos de TI / comunicaciones</v>
      </c>
    </row>
    <row r="36" spans="2:3" x14ac:dyDescent="0.45">
      <c r="B36" s="2" t="s">
        <v>82</v>
      </c>
      <c r="C36" t="str">
        <f t="shared" si="0"/>
        <v>Claves criptográficas accesibles para personas no autorizadas</v>
      </c>
    </row>
    <row r="37" spans="2:3" x14ac:dyDescent="0.45">
      <c r="B37" s="2" t="s">
        <v>83</v>
      </c>
      <c r="C37" t="str">
        <f t="shared" si="0"/>
        <v>Configuración incorrecta del acceso a la red</v>
      </c>
    </row>
    <row r="38" spans="2:3" x14ac:dyDescent="0.45">
      <c r="B38" s="2" t="s">
        <v>84</v>
      </c>
      <c r="C38" t="str">
        <f t="shared" si="0"/>
        <v>Falta de una fuente de alimentación alternativa</v>
      </c>
    </row>
    <row r="39" spans="2:3" x14ac:dyDescent="0.45">
      <c r="B39" s="2" t="s">
        <v>85</v>
      </c>
      <c r="C39" t="str">
        <f t="shared" si="0"/>
        <v>Uso de equipos antiguos de TI/comunicación</v>
      </c>
    </row>
    <row r="40" spans="2:3" x14ac:dyDescent="0.45">
      <c r="B40" s="2" t="s">
        <v>86</v>
      </c>
      <c r="C40" t="str">
        <f t="shared" si="0"/>
        <v>Falta de / deficiente auditoría interna de equipos de TI / comunicaciones</v>
      </c>
    </row>
    <row r="41" spans="2:3" x14ac:dyDescent="0.45">
      <c r="B41" s="2" t="s">
        <v>87</v>
      </c>
      <c r="C41" t="str">
        <f t="shared" si="0"/>
        <v>El entorno de prueba y el entorno operativo no están separados</v>
      </c>
    </row>
    <row r="42" spans="2:3" x14ac:dyDescent="0.45">
      <c r="B42" s="2" t="s">
        <v>88</v>
      </c>
      <c r="C42" t="str">
        <f t="shared" si="0"/>
        <v>Gestión inadecuada de la red</v>
      </c>
    </row>
    <row r="43" spans="2:3" x14ac:dyDescent="0.45">
      <c r="B43" s="2" t="s">
        <v>89</v>
      </c>
      <c r="C43" t="str">
        <f t="shared" si="0"/>
        <v>Sensibilidad del equipo al cambio de tensión</v>
      </c>
    </row>
    <row r="44" spans="2:3" x14ac:dyDescent="0.45">
      <c r="B44" s="2" t="s">
        <v>90</v>
      </c>
      <c r="C44" t="str">
        <f t="shared" si="0"/>
        <v>Equipos móviles mal atendidos</v>
      </c>
    </row>
    <row r="45" spans="2:3" x14ac:dyDescent="0.45">
      <c r="B45" s="2" t="s">
        <v>91</v>
      </c>
      <c r="C45" t="str">
        <f t="shared" si="0"/>
        <v>Cableado informático inadecuado</v>
      </c>
    </row>
    <row r="46" spans="2:3" x14ac:dyDescent="0.45">
      <c r="B46" s="2" t="s">
        <v>92</v>
      </c>
      <c r="C46" t="str">
        <f t="shared" si="0"/>
        <v>Sensibilidad del equipo a la temperatura</v>
      </c>
    </row>
    <row r="47" spans="2:3" x14ac:dyDescent="0.45">
      <c r="B47" s="2" t="s">
        <v>93</v>
      </c>
      <c r="C47" t="str">
        <f t="shared" si="0"/>
        <v>Sensibilidad del equipo a la humedad y la contaminación</v>
      </c>
    </row>
    <row r="48" spans="2:3" x14ac:dyDescent="0.45">
      <c r="B48" s="2" t="s">
        <v>94</v>
      </c>
      <c r="C48" t="str">
        <f t="shared" si="0"/>
        <v>Control inadecuado de cambios en equipos de TI / comunicaciones</v>
      </c>
    </row>
    <row r="49" spans="2:3" x14ac:dyDescent="0.45">
      <c r="B49" s="2" t="s">
        <v>95</v>
      </c>
      <c r="C49" t="str">
        <f t="shared" si="0"/>
        <v>Normas para equipos de TI / comunicaciones no claramente definidas</v>
      </c>
    </row>
    <row r="50" spans="2:3" x14ac:dyDescent="0.45">
      <c r="B50" s="2" t="s">
        <v>96</v>
      </c>
      <c r="C50" t="str">
        <f t="shared" si="0"/>
        <v>Capacidad insuficiente de equipos de TI / comunicación</v>
      </c>
    </row>
    <row r="51" spans="2:3" x14ac:dyDescent="0.45">
      <c r="B51" s="2" t="s">
        <v>97</v>
      </c>
      <c r="C51" t="str">
        <f t="shared" si="0"/>
        <v>Dependencia excesiva de un solo dispositivo</v>
      </c>
    </row>
    <row r="52" spans="2:3" x14ac:dyDescent="0.45">
      <c r="B52" s="2" t="s">
        <v>98</v>
      </c>
      <c r="C52" t="str">
        <f t="shared" si="0"/>
        <v>Equipamiento inadecuado / incompatible</v>
      </c>
    </row>
    <row r="53" spans="2:3" x14ac:dyDescent="0.45">
      <c r="B53" s="2" t="s">
        <v>99</v>
      </c>
      <c r="C53" t="str">
        <f t="shared" si="0"/>
        <v>Dispositivos de red están insuficientemente protegidos físicamente</v>
      </c>
    </row>
    <row r="54" spans="2:3" x14ac:dyDescent="0.45">
      <c r="B54" s="2" t="s">
        <v>100</v>
      </c>
      <c r="C54" t="str">
        <f t="shared" si="0"/>
        <v>Descargas de Internet no controladas</v>
      </c>
    </row>
    <row r="55" spans="2:3" x14ac:dyDescent="0.45">
      <c r="B55" s="2" t="s">
        <v>101</v>
      </c>
      <c r="C55" t="str">
        <f t="shared" si="0"/>
        <v>Equipos móviles inadecuadamente protegidos físicamente</v>
      </c>
    </row>
    <row r="56" spans="2:3" x14ac:dyDescent="0.45">
      <c r="B56" s="9" t="s">
        <v>22</v>
      </c>
      <c r="C56" t="str">
        <f t="shared" si="0"/>
        <v>Servidores</v>
      </c>
    </row>
    <row r="57" spans="2:3" x14ac:dyDescent="0.45">
      <c r="B57" s="2" t="s">
        <v>80</v>
      </c>
      <c r="C57" t="str">
        <f t="shared" si="0"/>
        <v>Eliminación de medios de almacenamiento sin borrar datos</v>
      </c>
    </row>
    <row r="58" spans="2:3" x14ac:dyDescent="0.45">
      <c r="B58" s="2" t="s">
        <v>81</v>
      </c>
      <c r="C58" t="str">
        <f t="shared" si="0"/>
        <v>Mantenimiento inadecuado de equipos de TI / comunicaciones</v>
      </c>
    </row>
    <row r="59" spans="2:3" x14ac:dyDescent="0.45">
      <c r="B59" s="2" t="s">
        <v>82</v>
      </c>
      <c r="C59" t="str">
        <f t="shared" si="0"/>
        <v>Claves criptográficas accesibles para personas no autorizadas</v>
      </c>
    </row>
    <row r="60" spans="2:3" x14ac:dyDescent="0.45">
      <c r="B60" s="2" t="s">
        <v>83</v>
      </c>
      <c r="C60" t="str">
        <f t="shared" si="0"/>
        <v>Configuración incorrecta del acceso a la red</v>
      </c>
    </row>
    <row r="61" spans="2:3" x14ac:dyDescent="0.45">
      <c r="B61" s="2" t="s">
        <v>84</v>
      </c>
      <c r="C61" t="str">
        <f t="shared" si="0"/>
        <v>Falta de una fuente de alimentación alternativa</v>
      </c>
    </row>
    <row r="62" spans="2:3" x14ac:dyDescent="0.45">
      <c r="B62" s="2" t="s">
        <v>85</v>
      </c>
      <c r="C62" t="str">
        <f t="shared" si="0"/>
        <v>Uso de equipos antiguos de TI/comunicación</v>
      </c>
    </row>
    <row r="63" spans="2:3" x14ac:dyDescent="0.45">
      <c r="B63" s="2" t="s">
        <v>86</v>
      </c>
      <c r="C63" t="str">
        <f t="shared" si="0"/>
        <v>Falta de / deficiente auditoría interna de equipos de TI / comunicaciones</v>
      </c>
    </row>
    <row r="64" spans="2:3" x14ac:dyDescent="0.45">
      <c r="B64" s="2" t="s">
        <v>87</v>
      </c>
      <c r="C64" t="str">
        <f t="shared" si="0"/>
        <v>El entorno de prueba y el entorno operativo no están separados</v>
      </c>
    </row>
    <row r="65" spans="2:3" x14ac:dyDescent="0.45">
      <c r="B65" s="2" t="s">
        <v>88</v>
      </c>
      <c r="C65" t="str">
        <f t="shared" si="0"/>
        <v>Gestión inadecuada de la red</v>
      </c>
    </row>
    <row r="66" spans="2:3" x14ac:dyDescent="0.45">
      <c r="B66" s="2" t="s">
        <v>89</v>
      </c>
      <c r="C66" t="str">
        <f t="shared" si="0"/>
        <v>Sensibilidad del equipo al cambio de tensión</v>
      </c>
    </row>
    <row r="67" spans="2:3" x14ac:dyDescent="0.45">
      <c r="B67" s="2" t="s">
        <v>90</v>
      </c>
      <c r="C67" t="str">
        <f t="shared" si="0"/>
        <v>Equipos móviles mal atendidos</v>
      </c>
    </row>
    <row r="68" spans="2:3" x14ac:dyDescent="0.45">
      <c r="B68" s="2" t="s">
        <v>91</v>
      </c>
      <c r="C68" t="str">
        <f t="shared" ref="C68:C131" si="1">_xlfn.TRANSLATE(B68,"en","es")</f>
        <v>Cableado informático inadecuado</v>
      </c>
    </row>
    <row r="69" spans="2:3" x14ac:dyDescent="0.45">
      <c r="B69" s="2" t="s">
        <v>92</v>
      </c>
      <c r="C69" t="str">
        <f t="shared" si="1"/>
        <v>Sensibilidad del equipo a la temperatura</v>
      </c>
    </row>
    <row r="70" spans="2:3" x14ac:dyDescent="0.45">
      <c r="B70" s="2" t="s">
        <v>93</v>
      </c>
      <c r="C70" t="str">
        <f t="shared" si="1"/>
        <v>Sensibilidad del equipo a la humedad y la contaminación</v>
      </c>
    </row>
    <row r="71" spans="2:3" x14ac:dyDescent="0.45">
      <c r="B71" s="2" t="s">
        <v>94</v>
      </c>
      <c r="C71" t="str">
        <f t="shared" si="1"/>
        <v>Control inadecuado de cambios en equipos de TI / comunicaciones</v>
      </c>
    </row>
    <row r="72" spans="2:3" x14ac:dyDescent="0.45">
      <c r="B72" s="2" t="s">
        <v>95</v>
      </c>
      <c r="C72" t="str">
        <f t="shared" si="1"/>
        <v>Normas para equipos de TI / comunicaciones no claramente definidas</v>
      </c>
    </row>
    <row r="73" spans="2:3" x14ac:dyDescent="0.45">
      <c r="B73" s="2" t="s">
        <v>96</v>
      </c>
      <c r="C73" t="str">
        <f t="shared" si="1"/>
        <v>Capacidad insuficiente de equipos de TI / comunicación</v>
      </c>
    </row>
    <row r="74" spans="2:3" x14ac:dyDescent="0.45">
      <c r="B74" s="2" t="s">
        <v>97</v>
      </c>
      <c r="C74" t="str">
        <f t="shared" si="1"/>
        <v>Dependencia excesiva de un solo dispositivo</v>
      </c>
    </row>
    <row r="75" spans="2:3" x14ac:dyDescent="0.45">
      <c r="B75" s="2" t="s">
        <v>98</v>
      </c>
      <c r="C75" t="str">
        <f t="shared" si="1"/>
        <v>Equipamiento inadecuado / incompatible</v>
      </c>
    </row>
    <row r="76" spans="2:3" x14ac:dyDescent="0.45">
      <c r="B76" s="2" t="s">
        <v>99</v>
      </c>
      <c r="C76" t="str">
        <f t="shared" si="1"/>
        <v>Dispositivos de red están insuficientemente protegidos físicamente</v>
      </c>
    </row>
    <row r="77" spans="2:3" x14ac:dyDescent="0.45">
      <c r="B77" s="2" t="s">
        <v>100</v>
      </c>
      <c r="C77" t="str">
        <f t="shared" si="1"/>
        <v>Descargas de Internet no controladas</v>
      </c>
    </row>
    <row r="78" spans="2:3" x14ac:dyDescent="0.45">
      <c r="B78" s="2" t="s">
        <v>101</v>
      </c>
      <c r="C78" t="str">
        <f t="shared" si="1"/>
        <v>Equipos móviles inadecuadamente protegidos físicamente</v>
      </c>
    </row>
    <row r="79" spans="2:3" x14ac:dyDescent="0.45">
      <c r="B79" s="9" t="s">
        <v>30</v>
      </c>
      <c r="C79" t="str">
        <f t="shared" si="1"/>
        <v>Dispositivos móviles (por ejemplo, portátiles, portátiles, tabletas, smartphones, PDAs)</v>
      </c>
    </row>
    <row r="80" spans="2:3" x14ac:dyDescent="0.45">
      <c r="B80" s="2" t="s">
        <v>80</v>
      </c>
      <c r="C80" t="str">
        <f t="shared" si="1"/>
        <v>Eliminación de medios de almacenamiento sin borrar datos</v>
      </c>
    </row>
    <row r="81" spans="2:3" x14ac:dyDescent="0.45">
      <c r="B81" s="2" t="s">
        <v>81</v>
      </c>
      <c r="C81" t="str">
        <f t="shared" si="1"/>
        <v>Mantenimiento inadecuado de equipos de TI / comunicaciones</v>
      </c>
    </row>
    <row r="82" spans="2:3" x14ac:dyDescent="0.45">
      <c r="B82" s="2" t="s">
        <v>82</v>
      </c>
      <c r="C82" t="str">
        <f t="shared" si="1"/>
        <v>Claves criptográficas accesibles para personas no autorizadas</v>
      </c>
    </row>
    <row r="83" spans="2:3" x14ac:dyDescent="0.45">
      <c r="B83" s="2" t="s">
        <v>83</v>
      </c>
      <c r="C83" t="str">
        <f t="shared" si="1"/>
        <v>Configuración incorrecta del acceso a la red</v>
      </c>
    </row>
    <row r="84" spans="2:3" x14ac:dyDescent="0.45">
      <c r="B84" s="2" t="s">
        <v>84</v>
      </c>
      <c r="C84" t="str">
        <f t="shared" si="1"/>
        <v>Falta de una fuente de alimentación alternativa</v>
      </c>
    </row>
    <row r="85" spans="2:3" x14ac:dyDescent="0.45">
      <c r="B85" s="2" t="s">
        <v>85</v>
      </c>
      <c r="C85" t="str">
        <f t="shared" si="1"/>
        <v>Uso de equipos antiguos de TI/comunicación</v>
      </c>
    </row>
    <row r="86" spans="2:3" x14ac:dyDescent="0.45">
      <c r="B86" s="2" t="s">
        <v>86</v>
      </c>
      <c r="C86" t="str">
        <f t="shared" si="1"/>
        <v>Falta de / deficiente auditoría interna de equipos de TI / comunicaciones</v>
      </c>
    </row>
    <row r="87" spans="2:3" x14ac:dyDescent="0.45">
      <c r="B87" s="2" t="s">
        <v>87</v>
      </c>
      <c r="C87" t="str">
        <f t="shared" si="1"/>
        <v>El entorno de prueba y el entorno operativo no están separados</v>
      </c>
    </row>
    <row r="88" spans="2:3" x14ac:dyDescent="0.45">
      <c r="B88" s="2" t="s">
        <v>88</v>
      </c>
      <c r="C88" t="str">
        <f t="shared" si="1"/>
        <v>Gestión inadecuada de la red</v>
      </c>
    </row>
    <row r="89" spans="2:3" x14ac:dyDescent="0.45">
      <c r="B89" s="2" t="s">
        <v>89</v>
      </c>
      <c r="C89" t="str">
        <f t="shared" si="1"/>
        <v>Sensibilidad del equipo al cambio de tensión</v>
      </c>
    </row>
    <row r="90" spans="2:3" x14ac:dyDescent="0.45">
      <c r="B90" s="2" t="s">
        <v>90</v>
      </c>
      <c r="C90" t="str">
        <f t="shared" si="1"/>
        <v>Equipos móviles mal atendidos</v>
      </c>
    </row>
    <row r="91" spans="2:3" x14ac:dyDescent="0.45">
      <c r="B91" s="2" t="s">
        <v>91</v>
      </c>
      <c r="C91" t="str">
        <f t="shared" si="1"/>
        <v>Cableado informático inadecuado</v>
      </c>
    </row>
    <row r="92" spans="2:3" x14ac:dyDescent="0.45">
      <c r="B92" s="2" t="s">
        <v>92</v>
      </c>
      <c r="C92" t="str">
        <f t="shared" si="1"/>
        <v>Sensibilidad del equipo a la temperatura</v>
      </c>
    </row>
    <row r="93" spans="2:3" x14ac:dyDescent="0.45">
      <c r="B93" s="2" t="s">
        <v>93</v>
      </c>
      <c r="C93" t="str">
        <f t="shared" si="1"/>
        <v>Sensibilidad del equipo a la humedad y la contaminación</v>
      </c>
    </row>
    <row r="94" spans="2:3" x14ac:dyDescent="0.45">
      <c r="B94" s="2" t="s">
        <v>94</v>
      </c>
      <c r="C94" t="str">
        <f t="shared" si="1"/>
        <v>Control inadecuado de cambios en equipos de TI / comunicaciones</v>
      </c>
    </row>
    <row r="95" spans="2:3" x14ac:dyDescent="0.45">
      <c r="B95" s="2" t="s">
        <v>95</v>
      </c>
      <c r="C95" t="str">
        <f t="shared" si="1"/>
        <v>Normas para equipos de TI / comunicaciones no claramente definidas</v>
      </c>
    </row>
    <row r="96" spans="2:3" x14ac:dyDescent="0.45">
      <c r="B96" s="2" t="s">
        <v>96</v>
      </c>
      <c r="C96" t="str">
        <f t="shared" si="1"/>
        <v>Capacidad insuficiente de equipos de TI / comunicación</v>
      </c>
    </row>
    <row r="97" spans="2:3" x14ac:dyDescent="0.45">
      <c r="B97" s="2" t="s">
        <v>97</v>
      </c>
      <c r="C97" t="str">
        <f t="shared" si="1"/>
        <v>Dependencia excesiva de un solo dispositivo</v>
      </c>
    </row>
    <row r="98" spans="2:3" x14ac:dyDescent="0.45">
      <c r="B98" s="2" t="s">
        <v>98</v>
      </c>
      <c r="C98" t="str">
        <f t="shared" si="1"/>
        <v>Equipamiento inadecuado / incompatible</v>
      </c>
    </row>
    <row r="99" spans="2:3" x14ac:dyDescent="0.45">
      <c r="B99" s="2" t="s">
        <v>99</v>
      </c>
      <c r="C99" t="str">
        <f t="shared" si="1"/>
        <v>Dispositivos de red están insuficientemente protegidos físicamente</v>
      </c>
    </row>
    <row r="100" spans="2:3" x14ac:dyDescent="0.45">
      <c r="B100" s="2" t="s">
        <v>100</v>
      </c>
      <c r="C100" t="str">
        <f t="shared" si="1"/>
        <v>Descargas de Internet no controladas</v>
      </c>
    </row>
    <row r="101" spans="2:3" ht="14.65" thickBot="1" x14ac:dyDescent="0.5">
      <c r="B101" s="2" t="s">
        <v>101</v>
      </c>
      <c r="C101" t="str">
        <f t="shared" si="1"/>
        <v>Equipos móviles inadecuadamente protegidos físicamente</v>
      </c>
    </row>
    <row r="102" spans="2:3" ht="14.65" thickBot="1" x14ac:dyDescent="0.5">
      <c r="B102" s="3" t="s">
        <v>31</v>
      </c>
      <c r="C102" t="str">
        <f t="shared" si="1"/>
        <v>Software y bases de datos</v>
      </c>
    </row>
    <row r="103" spans="2:3" x14ac:dyDescent="0.45">
      <c r="B103" s="5" t="s">
        <v>19</v>
      </c>
      <c r="C103" t="str">
        <f t="shared" si="1"/>
        <v>Activos</v>
      </c>
    </row>
    <row r="104" spans="2:3" x14ac:dyDescent="0.45">
      <c r="B104" s="1" t="s">
        <v>67</v>
      </c>
      <c r="C104" t="str">
        <f t="shared" si="1"/>
        <v>Vulnerabilidades</v>
      </c>
    </row>
    <row r="105" spans="2:3" x14ac:dyDescent="0.45">
      <c r="B105" s="9" t="s">
        <v>33</v>
      </c>
      <c r="C105" t="str">
        <f t="shared" si="1"/>
        <v>Diversas herramientas de software</v>
      </c>
    </row>
    <row r="106" spans="2:3" x14ac:dyDescent="0.45">
      <c r="B106" s="2" t="s">
        <v>102</v>
      </c>
      <c r="C106" t="str">
        <f t="shared" si="1"/>
        <v>Los derechos de acceso se conceden más allá de lo necesario</v>
      </c>
    </row>
    <row r="107" spans="2:3" x14ac:dyDescent="0.45">
      <c r="B107" s="2" t="s">
        <v>103</v>
      </c>
      <c r="C107" t="str">
        <f t="shared" si="1"/>
        <v>Falta de pruebas de mensajes enviados o recibidos</v>
      </c>
    </row>
    <row r="108" spans="2:3" x14ac:dyDescent="0.45">
      <c r="B108" s="2" t="s">
        <v>104</v>
      </c>
      <c r="C108" t="str">
        <f t="shared" si="1"/>
        <v>Las contraseñas generadas por el sistema permanecen sin cambios</v>
      </c>
    </row>
    <row r="109" spans="2:3" x14ac:dyDescent="0.45">
      <c r="B109" s="2" t="s">
        <v>105</v>
      </c>
      <c r="C109" t="str">
        <f t="shared" si="1"/>
        <v>Contraseñas débiles</v>
      </c>
    </row>
    <row r="110" spans="2:3" x14ac:dyDescent="0.45">
      <c r="B110" s="2" t="s">
        <v>106</v>
      </c>
      <c r="C110" t="str">
        <f t="shared" si="1"/>
        <v>Falta de validación para los datos procesados</v>
      </c>
    </row>
    <row r="111" spans="2:3" x14ac:dyDescent="0.45">
      <c r="B111" s="2" t="s">
        <v>107</v>
      </c>
      <c r="C111" t="str">
        <f t="shared" si="1"/>
        <v>Software no documentado</v>
      </c>
    </row>
    <row r="112" spans="2:3" x14ac:dyDescent="0.45">
      <c r="B112" s="2" t="s">
        <v>108</v>
      </c>
      <c r="C112" t="str">
        <f t="shared" si="1"/>
        <v>Falta de control de datos de entrada y salida</v>
      </c>
    </row>
    <row r="113" spans="2:3" x14ac:dyDescent="0.45">
      <c r="B113" s="2" t="s">
        <v>109</v>
      </c>
      <c r="C113" t="str">
        <f t="shared" si="1"/>
        <v>Sistemas no protegidos contra accesos no autorizados</v>
      </c>
    </row>
    <row r="114" spans="2:3" x14ac:dyDescent="0.45">
      <c r="B114" s="2" t="s">
        <v>110</v>
      </c>
      <c r="C114" t="str">
        <f t="shared" si="1"/>
        <v>Falta de información sobre quién utiliza los sistemas de información</v>
      </c>
    </row>
    <row r="115" spans="2:3" x14ac:dyDescent="0.45">
      <c r="B115" s="2" t="s">
        <v>111</v>
      </c>
      <c r="C115" t="str">
        <f t="shared" si="1"/>
        <v>Error de configuración del software</v>
      </c>
    </row>
    <row r="116" spans="2:3" x14ac:dyDescent="0.45">
      <c r="B116" s="2" t="s">
        <v>112</v>
      </c>
      <c r="C116" t="str">
        <f t="shared" si="1"/>
        <v>No se permiten desactivaciones de cuentas de usuario tras el terminamiento del contrato</v>
      </c>
    </row>
    <row r="117" spans="2:3" x14ac:dyDescent="0.45">
      <c r="B117" s="2" t="s">
        <v>113</v>
      </c>
      <c r="C117" t="str">
        <f t="shared" si="1"/>
        <v>Falta de auditoría interna o deficiente del software y sus bases de datos</v>
      </c>
    </row>
    <row r="118" spans="2:3" x14ac:dyDescent="0.45">
      <c r="B118" s="2" t="s">
        <v>114</v>
      </c>
      <c r="C118" t="str">
        <f t="shared" si="1"/>
        <v>Fallo de diseño de software</v>
      </c>
    </row>
    <row r="119" spans="2:3" x14ac:dyDescent="0.45">
      <c r="B119" s="2" t="s">
        <v>115</v>
      </c>
      <c r="C119" t="str">
        <f t="shared" si="1"/>
        <v>Componentes de software no compatibles</v>
      </c>
    </row>
    <row r="120" spans="2:3" x14ac:dyDescent="0.45">
      <c r="B120" s="2" t="s">
        <v>116</v>
      </c>
      <c r="C120" t="str">
        <f t="shared" si="1"/>
        <v>Falta de software antivirus o no actualizado</v>
      </c>
    </row>
    <row r="121" spans="2:3" x14ac:dyDescent="0.45">
      <c r="B121" s="2" t="s">
        <v>117</v>
      </c>
      <c r="C121" t="str">
        <f t="shared" si="1"/>
        <v>Las sesiones permanecen activas después del horario laboral</v>
      </c>
    </row>
    <row r="122" spans="2:3" x14ac:dyDescent="0.45">
      <c r="B122" s="2" t="s">
        <v>118</v>
      </c>
      <c r="C122" t="str">
        <f t="shared" si="1"/>
        <v>Control de cambios inadecuado del software y sus bases de datos</v>
      </c>
    </row>
    <row r="123" spans="2:3" x14ac:dyDescent="0.45">
      <c r="B123" s="2" t="s">
        <v>119</v>
      </c>
      <c r="C123" t="str">
        <f t="shared" si="1"/>
        <v>Reglas para software y sus bases de datos no claramente definidas</v>
      </c>
    </row>
    <row r="124" spans="2:3" x14ac:dyDescent="0.45">
      <c r="B124" s="2" t="s">
        <v>120</v>
      </c>
      <c r="C124" t="str">
        <f t="shared" si="1"/>
        <v>Interfaz de usuario complicada</v>
      </c>
    </row>
    <row r="125" spans="2:3" x14ac:dyDescent="0.45">
      <c r="B125" s="2" t="s">
        <v>121</v>
      </c>
      <c r="C125" t="str">
        <f t="shared" si="1"/>
        <v>Requisitos para el desarrollo de software no claramente definidos</v>
      </c>
    </row>
    <row r="126" spans="2:3" x14ac:dyDescent="0.45">
      <c r="B126" s="2" t="s">
        <v>122</v>
      </c>
      <c r="C126" t="str">
        <f t="shared" si="1"/>
        <v>No existe respaldo ni se realiza regularmente</v>
      </c>
    </row>
    <row r="127" spans="2:3" x14ac:dyDescent="0.45">
      <c r="B127" s="2" t="s">
        <v>123</v>
      </c>
      <c r="C127" t="str">
        <f t="shared" si="1"/>
        <v>Sobredependencia de un sistema</v>
      </c>
    </row>
    <row r="128" spans="2:3" x14ac:dyDescent="0.45">
      <c r="B128" s="9" t="s">
        <v>35</v>
      </c>
      <c r="C128" t="str">
        <f t="shared" si="1"/>
        <v>Sistemas operativos</v>
      </c>
    </row>
    <row r="129" spans="2:3" x14ac:dyDescent="0.45">
      <c r="B129" s="2" t="s">
        <v>102</v>
      </c>
      <c r="C129" t="str">
        <f t="shared" si="1"/>
        <v>Los derechos de acceso se conceden más allá de lo necesario</v>
      </c>
    </row>
    <row r="130" spans="2:3" x14ac:dyDescent="0.45">
      <c r="B130" s="2" t="s">
        <v>103</v>
      </c>
      <c r="C130" t="str">
        <f t="shared" si="1"/>
        <v>Falta de pruebas de mensajes enviados o recibidos</v>
      </c>
    </row>
    <row r="131" spans="2:3" x14ac:dyDescent="0.45">
      <c r="B131" s="2" t="s">
        <v>104</v>
      </c>
      <c r="C131" t="str">
        <f t="shared" si="1"/>
        <v>Las contraseñas generadas por el sistema permanecen sin cambios</v>
      </c>
    </row>
    <row r="132" spans="2:3" x14ac:dyDescent="0.45">
      <c r="B132" s="2" t="s">
        <v>105</v>
      </c>
      <c r="C132" t="str">
        <f t="shared" ref="C132:C195" si="2">_xlfn.TRANSLATE(B132,"en","es")</f>
        <v>Contraseñas débiles</v>
      </c>
    </row>
    <row r="133" spans="2:3" x14ac:dyDescent="0.45">
      <c r="B133" s="2" t="s">
        <v>106</v>
      </c>
      <c r="C133" t="str">
        <f t="shared" si="2"/>
        <v>Falta de validación para los datos procesados</v>
      </c>
    </row>
    <row r="134" spans="2:3" x14ac:dyDescent="0.45">
      <c r="B134" s="2" t="s">
        <v>107</v>
      </c>
      <c r="C134" t="str">
        <f t="shared" si="2"/>
        <v>Software no documentado</v>
      </c>
    </row>
    <row r="135" spans="2:3" x14ac:dyDescent="0.45">
      <c r="B135" s="2" t="s">
        <v>108</v>
      </c>
      <c r="C135" t="str">
        <f t="shared" si="2"/>
        <v>Falta de control de datos de entrada y salida</v>
      </c>
    </row>
    <row r="136" spans="2:3" x14ac:dyDescent="0.45">
      <c r="B136" s="2" t="s">
        <v>109</v>
      </c>
      <c r="C136" t="str">
        <f t="shared" si="2"/>
        <v>Sistemas no protegidos contra accesos no autorizados</v>
      </c>
    </row>
    <row r="137" spans="2:3" x14ac:dyDescent="0.45">
      <c r="B137" s="2" t="s">
        <v>110</v>
      </c>
      <c r="C137" t="str">
        <f t="shared" si="2"/>
        <v>Falta de información sobre quién utiliza los sistemas de información</v>
      </c>
    </row>
    <row r="138" spans="2:3" x14ac:dyDescent="0.45">
      <c r="B138" s="2" t="s">
        <v>111</v>
      </c>
      <c r="C138" t="str">
        <f t="shared" si="2"/>
        <v>Error de configuración del software</v>
      </c>
    </row>
    <row r="139" spans="2:3" x14ac:dyDescent="0.45">
      <c r="B139" s="2" t="s">
        <v>112</v>
      </c>
      <c r="C139" t="str">
        <f t="shared" si="2"/>
        <v>No se permiten desactivaciones de cuentas de usuario tras el terminamiento del contrato</v>
      </c>
    </row>
    <row r="140" spans="2:3" x14ac:dyDescent="0.45">
      <c r="B140" s="2" t="s">
        <v>113</v>
      </c>
      <c r="C140" t="str">
        <f t="shared" si="2"/>
        <v>Falta de auditoría interna o deficiente del software y sus bases de datos</v>
      </c>
    </row>
    <row r="141" spans="2:3" x14ac:dyDescent="0.45">
      <c r="B141" s="2" t="s">
        <v>114</v>
      </c>
      <c r="C141" t="str">
        <f t="shared" si="2"/>
        <v>Fallo de diseño de software</v>
      </c>
    </row>
    <row r="142" spans="2:3" x14ac:dyDescent="0.45">
      <c r="B142" s="2" t="s">
        <v>115</v>
      </c>
      <c r="C142" t="str">
        <f t="shared" si="2"/>
        <v>Componentes de software no compatibles</v>
      </c>
    </row>
    <row r="143" spans="2:3" x14ac:dyDescent="0.45">
      <c r="B143" s="2" t="s">
        <v>116</v>
      </c>
      <c r="C143" t="str">
        <f t="shared" si="2"/>
        <v>Falta de software antivirus o no actualizado</v>
      </c>
    </row>
    <row r="144" spans="2:3" x14ac:dyDescent="0.45">
      <c r="B144" s="2" t="s">
        <v>117</v>
      </c>
      <c r="C144" t="str">
        <f t="shared" si="2"/>
        <v>Las sesiones permanecen activas después del horario laboral</v>
      </c>
    </row>
    <row r="145" spans="2:3" x14ac:dyDescent="0.45">
      <c r="B145" s="2" t="s">
        <v>118</v>
      </c>
      <c r="C145" t="str">
        <f t="shared" si="2"/>
        <v>Control de cambios inadecuado del software y sus bases de datos</v>
      </c>
    </row>
    <row r="146" spans="2:3" x14ac:dyDescent="0.45">
      <c r="B146" s="2" t="s">
        <v>119</v>
      </c>
      <c r="C146" t="str">
        <f t="shared" si="2"/>
        <v>Reglas para software y sus bases de datos no claramente definidas</v>
      </c>
    </row>
    <row r="147" spans="2:3" x14ac:dyDescent="0.45">
      <c r="B147" s="2" t="s">
        <v>120</v>
      </c>
      <c r="C147" t="str">
        <f t="shared" si="2"/>
        <v>Interfaz de usuario complicada</v>
      </c>
    </row>
    <row r="148" spans="2:3" x14ac:dyDescent="0.45">
      <c r="B148" s="2" t="s">
        <v>121</v>
      </c>
      <c r="C148" t="str">
        <f t="shared" si="2"/>
        <v>Requisitos para el desarrollo de software no claramente definidos</v>
      </c>
    </row>
    <row r="149" spans="2:3" x14ac:dyDescent="0.45">
      <c r="B149" s="2" t="s">
        <v>122</v>
      </c>
      <c r="C149" t="str">
        <f t="shared" si="2"/>
        <v>No existe respaldo ni se realiza regularmente</v>
      </c>
    </row>
    <row r="150" spans="2:3" ht="14.65" thickBot="1" x14ac:dyDescent="0.5">
      <c r="B150" s="2" t="s">
        <v>123</v>
      </c>
      <c r="C150" t="str">
        <f t="shared" si="2"/>
        <v>Sobredependencia de un sistema</v>
      </c>
    </row>
    <row r="151" spans="2:3" ht="14.65" thickBot="1" x14ac:dyDescent="0.5">
      <c r="B151" s="3" t="s">
        <v>39</v>
      </c>
      <c r="C151" t="str">
        <f t="shared" si="2"/>
        <v>Otros documentos y datos (en formatos electrónicos y otros)</v>
      </c>
    </row>
    <row r="152" spans="2:3" x14ac:dyDescent="0.45">
      <c r="B152" s="5" t="s">
        <v>19</v>
      </c>
      <c r="C152" t="str">
        <f t="shared" si="2"/>
        <v>Activos</v>
      </c>
    </row>
    <row r="153" spans="2:3" x14ac:dyDescent="0.45">
      <c r="B153" s="1" t="s">
        <v>67</v>
      </c>
      <c r="C153" t="str">
        <f t="shared" si="2"/>
        <v>Vulnerabilidades</v>
      </c>
    </row>
    <row r="154" spans="2:3" x14ac:dyDescent="0.45">
      <c r="B154" s="9" t="s">
        <v>43</v>
      </c>
      <c r="C154" t="str">
        <f t="shared" si="2"/>
        <v>Datos personales (por ejemplo, de empleados o clientes)</v>
      </c>
    </row>
    <row r="155" spans="2:3" x14ac:dyDescent="0.45">
      <c r="B155" s="2" t="s">
        <v>124</v>
      </c>
      <c r="C155" t="str">
        <f t="shared" si="2"/>
        <v>Comprensión errónea sobre la sensibilidad de la información</v>
      </c>
    </row>
    <row r="156" spans="2:3" x14ac:dyDescent="0.45">
      <c r="B156" s="2" t="s">
        <v>125</v>
      </c>
      <c r="C156" t="str">
        <f t="shared" si="2"/>
        <v>Copia incontrolada de documentos y datos</v>
      </c>
    </row>
    <row r="157" spans="2:3" x14ac:dyDescent="0.45">
      <c r="B157" s="2" t="s">
        <v>126</v>
      </c>
      <c r="C157" t="str">
        <f t="shared" si="2"/>
        <v>Copia única / solo una copia de la información disponible</v>
      </c>
    </row>
    <row r="158" spans="2:3" x14ac:dyDescent="0.45">
      <c r="B158" s="2" t="s">
        <v>127</v>
      </c>
      <c r="C158" t="str">
        <f t="shared" si="2"/>
        <v>Reglas sobre el control de documentos no claramente definidas</v>
      </c>
    </row>
    <row r="159" spans="2:3" x14ac:dyDescent="0.45">
      <c r="B159" s="2" t="s">
        <v>128</v>
      </c>
      <c r="C159" t="str">
        <f t="shared" si="2"/>
        <v>Mala selección de datos de pruebas</v>
      </c>
    </row>
    <row r="160" spans="2:3" x14ac:dyDescent="0.45">
      <c r="B160" s="2" t="s">
        <v>129</v>
      </c>
      <c r="C160" t="str">
        <f t="shared" si="2"/>
        <v>Falta de / mala auditoría interna de documentos y datos</v>
      </c>
    </row>
    <row r="161" spans="2:3" x14ac:dyDescent="0.45">
      <c r="B161" s="2" t="s">
        <v>130</v>
      </c>
      <c r="C161" t="str">
        <f t="shared" si="2"/>
        <v>Protección física insuficiente de documentos</v>
      </c>
    </row>
    <row r="162" spans="2:3" x14ac:dyDescent="0.45">
      <c r="B162" s="2" t="s">
        <v>131</v>
      </c>
      <c r="C162" t="str">
        <f t="shared" si="2"/>
        <v>Control inadecuado de cambios en documentos y datos</v>
      </c>
    </row>
    <row r="163" spans="2:3" ht="14.65" thickBot="1" x14ac:dyDescent="0.5">
      <c r="B163" s="2" t="s">
        <v>132</v>
      </c>
      <c r="C163" t="str">
        <f t="shared" si="2"/>
        <v>Nivel de confidencialidad no claramente definido</v>
      </c>
    </row>
    <row r="164" spans="2:3" ht="14.65" thickBot="1" x14ac:dyDescent="0.5">
      <c r="B164" s="3" t="s">
        <v>48</v>
      </c>
      <c r="C164" t="str">
        <f t="shared" si="2"/>
        <v>Recursos humanos</v>
      </c>
    </row>
    <row r="165" spans="2:3" x14ac:dyDescent="0.45">
      <c r="B165" s="5" t="s">
        <v>19</v>
      </c>
      <c r="C165" t="str">
        <f t="shared" si="2"/>
        <v>Activos</v>
      </c>
    </row>
    <row r="166" spans="2:3" x14ac:dyDescent="0.45">
      <c r="B166" s="1" t="s">
        <v>67</v>
      </c>
      <c r="C166" t="str">
        <f t="shared" si="2"/>
        <v>Vulnerabilidades</v>
      </c>
    </row>
    <row r="167" spans="2:3" x14ac:dyDescent="0.45">
      <c r="B167" s="9" t="s">
        <v>52</v>
      </c>
      <c r="C167" t="str">
        <f t="shared" si="2"/>
        <v>Empleados remotos</v>
      </c>
    </row>
    <row r="168" spans="2:3" x14ac:dyDescent="0.45">
      <c r="B168" s="2" t="s">
        <v>133</v>
      </c>
      <c r="C168" t="str">
        <f t="shared" si="2"/>
        <v>Empleados desmotivados o descontentos</v>
      </c>
    </row>
    <row r="169" spans="2:3" x14ac:dyDescent="0.45">
      <c r="B169" s="2" t="s">
        <v>134</v>
      </c>
      <c r="C169" t="str">
        <f t="shared" si="2"/>
        <v>Normas sobre cómo manejar información no claramente definidas</v>
      </c>
    </row>
    <row r="170" spans="2:3" x14ac:dyDescent="0.45">
      <c r="B170" s="2" t="s">
        <v>135</v>
      </c>
      <c r="C170" t="str">
        <f t="shared" si="2"/>
        <v>Reglas para trabajar fuera de las instalaciones no claramente definidas</v>
      </c>
    </row>
    <row r="171" spans="2:3" x14ac:dyDescent="0.45">
      <c r="B171" s="2" t="s">
        <v>136</v>
      </c>
      <c r="C171" t="str">
        <f t="shared" si="2"/>
        <v>La persona de reemplazo no existe / es inadecuada</v>
      </c>
    </row>
    <row r="172" spans="2:3" x14ac:dyDescent="0.45">
      <c r="B172" s="2" t="s">
        <v>137</v>
      </c>
      <c r="C172" t="str">
        <f t="shared" si="2"/>
        <v>Falta de auditoría interna o deficiente de recursos humanos</v>
      </c>
    </row>
    <row r="173" spans="2:3" x14ac:dyDescent="0.45">
      <c r="B173" s="2" t="s">
        <v>138</v>
      </c>
      <c r="C173" t="str">
        <f t="shared" si="2"/>
        <v>Supervisión inadecuada del trabajo</v>
      </c>
    </row>
    <row r="174" spans="2:3" x14ac:dyDescent="0.45">
      <c r="B174" s="2" t="s">
        <v>139</v>
      </c>
      <c r="C174" t="str">
        <f t="shared" si="2"/>
        <v>Nivel insuficiente de conocimiento y/o conciencia</v>
      </c>
    </row>
    <row r="175" spans="2:3" ht="14.65" thickBot="1" x14ac:dyDescent="0.5">
      <c r="B175" s="2" t="s">
        <v>140</v>
      </c>
      <c r="C175" t="str">
        <f t="shared" si="2"/>
        <v>Segregación insuficiente de funciones</v>
      </c>
    </row>
    <row r="176" spans="2:3" ht="14.65" thickBot="1" x14ac:dyDescent="0.5">
      <c r="B176" s="3" t="s">
        <v>55</v>
      </c>
      <c r="C176" t="str">
        <f t="shared" si="2"/>
        <v>Servicios de terceros</v>
      </c>
    </row>
    <row r="177" spans="2:3" x14ac:dyDescent="0.45">
      <c r="B177" s="5" t="s">
        <v>19</v>
      </c>
      <c r="C177" t="str">
        <f t="shared" si="2"/>
        <v>Activos</v>
      </c>
    </row>
    <row r="178" spans="2:3" x14ac:dyDescent="0.45">
      <c r="B178" s="1" t="s">
        <v>67</v>
      </c>
      <c r="C178" t="str">
        <f t="shared" si="2"/>
        <v>Vulnerabilidades</v>
      </c>
    </row>
    <row r="179" spans="2:3" x14ac:dyDescent="0.45">
      <c r="B179" s="9" t="s">
        <v>58</v>
      </c>
      <c r="C179" t="str">
        <f t="shared" si="2"/>
        <v>Personal externalizado (por ejemplo, autónomos o contratistas)</v>
      </c>
    </row>
    <row r="180" spans="2:3" x14ac:dyDescent="0.45">
      <c r="B180" s="2" t="s">
        <v>141</v>
      </c>
      <c r="C180" t="str">
        <f t="shared" si="2"/>
        <v>Supervisión inadecuada de proveedores externos</v>
      </c>
    </row>
    <row r="181" spans="2:3" x14ac:dyDescent="0.45">
      <c r="B181" s="2" t="s">
        <v>142</v>
      </c>
      <c r="C181" t="str">
        <f t="shared" si="2"/>
        <v>Terceros no están suficientemente preparados para las interrupciones</v>
      </c>
    </row>
    <row r="182" spans="2:3" x14ac:dyDescent="0.45">
      <c r="B182" s="2" t="s">
        <v>143</v>
      </c>
      <c r="C182" t="str">
        <f t="shared" si="2"/>
        <v>Los activos permanecen en manos de proveedores/socios tras el fin de la relación</v>
      </c>
    </row>
    <row r="183" spans="2:3" x14ac:dyDescent="0.45">
      <c r="B183" s="2" t="s">
        <v>144</v>
      </c>
      <c r="C183" t="str">
        <f t="shared" si="2"/>
        <v>Cambio en la estrategia empresarial de terceros</v>
      </c>
    </row>
    <row r="184" spans="2:3" x14ac:dyDescent="0.45">
      <c r="B184" s="2" t="s">
        <v>145</v>
      </c>
      <c r="C184" t="str">
        <f t="shared" si="2"/>
        <v>Un tercero no tiene un control de acceso adecuado</v>
      </c>
    </row>
    <row r="185" spans="2:3" x14ac:dyDescent="0.45">
      <c r="B185" s="2" t="s">
        <v>146</v>
      </c>
      <c r="C185" t="str">
        <f t="shared" si="2"/>
        <v>Normas sobre cómo tratar a terceros no están claramente definidas</v>
      </c>
    </row>
    <row r="186" spans="2:3" x14ac:dyDescent="0.45">
      <c r="B186" s="2" t="s">
        <v>147</v>
      </c>
      <c r="C186" t="str">
        <f t="shared" si="2"/>
        <v>Dependencia excesiva de un proveedor o socio</v>
      </c>
    </row>
    <row r="187" spans="2:3" x14ac:dyDescent="0.45">
      <c r="B187" s="2" t="s">
        <v>148</v>
      </c>
      <c r="C187" t="str">
        <f t="shared" si="2"/>
        <v>Falta o deficiente implementación de auditorías de servicios de terceros</v>
      </c>
    </row>
    <row r="188" spans="2:3" x14ac:dyDescent="0.45">
      <c r="B188" s="2" t="s">
        <v>149</v>
      </c>
      <c r="C188" t="str">
        <f t="shared" si="2"/>
        <v>Falta de acuerdos formales</v>
      </c>
    </row>
    <row r="189" spans="2:3" x14ac:dyDescent="0.45">
      <c r="B189" s="2" t="s">
        <v>150</v>
      </c>
      <c r="C189" t="str">
        <f t="shared" si="2"/>
        <v>Falta de control sobre dónde almacena la información de terceros</v>
      </c>
    </row>
    <row r="190" spans="2:3" x14ac:dyDescent="0.45">
      <c r="B190" s="2" t="s">
        <v>151</v>
      </c>
      <c r="C190" t="str">
        <f t="shared" si="2"/>
        <v>No está claro si terceros mantendrán sus operaciones comerciales</v>
      </c>
    </row>
    <row r="191" spans="2:3" x14ac:dyDescent="0.45">
      <c r="B191" s="2" t="s">
        <v>152</v>
      </c>
      <c r="C191" t="str">
        <f t="shared" si="2"/>
        <v>Infraestructura o equipamiento incompatibles</v>
      </c>
    </row>
    <row r="192" spans="2:3" x14ac:dyDescent="0.45">
      <c r="B192" s="9" t="s">
        <v>66</v>
      </c>
      <c r="C192" t="str">
        <f t="shared" si="2"/>
        <v>Servicios de comunicación (voz, Internet, etc.)</v>
      </c>
    </row>
    <row r="193" spans="2:3" x14ac:dyDescent="0.45">
      <c r="B193" s="2" t="s">
        <v>141</v>
      </c>
      <c r="C193" t="str">
        <f t="shared" si="2"/>
        <v>Supervisión inadecuada de proveedores externos</v>
      </c>
    </row>
    <row r="194" spans="2:3" x14ac:dyDescent="0.45">
      <c r="B194" s="2" t="s">
        <v>142</v>
      </c>
      <c r="C194" t="str">
        <f t="shared" si="2"/>
        <v>Terceros no están suficientemente preparados para las interrupciones</v>
      </c>
    </row>
    <row r="195" spans="2:3" x14ac:dyDescent="0.45">
      <c r="B195" s="2" t="s">
        <v>143</v>
      </c>
      <c r="C195" t="str">
        <f t="shared" si="2"/>
        <v>Los activos permanecen en manos de proveedores/socios tras el fin de la relación</v>
      </c>
    </row>
    <row r="196" spans="2:3" x14ac:dyDescent="0.45">
      <c r="B196" s="2" t="s">
        <v>144</v>
      </c>
      <c r="C196" t="str">
        <f t="shared" ref="C196:C206" si="3">_xlfn.TRANSLATE(B196,"en","es")</f>
        <v>Cambio en la estrategia empresarial de terceros</v>
      </c>
    </row>
    <row r="197" spans="2:3" x14ac:dyDescent="0.45">
      <c r="B197" s="2" t="s">
        <v>145</v>
      </c>
      <c r="C197" t="str">
        <f t="shared" si="3"/>
        <v>Un tercero no tiene un control de acceso adecuado</v>
      </c>
    </row>
    <row r="198" spans="2:3" x14ac:dyDescent="0.45">
      <c r="B198" s="2" t="s">
        <v>146</v>
      </c>
      <c r="C198" t="str">
        <f t="shared" si="3"/>
        <v>Normas sobre cómo tratar a terceros no están claramente definidas</v>
      </c>
    </row>
    <row r="199" spans="2:3" x14ac:dyDescent="0.45">
      <c r="B199" s="2" t="s">
        <v>147</v>
      </c>
      <c r="C199" t="str">
        <f t="shared" si="3"/>
        <v>Dependencia excesiva de un proveedor o socio</v>
      </c>
    </row>
    <row r="200" spans="2:3" x14ac:dyDescent="0.45">
      <c r="B200" s="2" t="s">
        <v>148</v>
      </c>
      <c r="C200" t="str">
        <f t="shared" si="3"/>
        <v>Falta o deficiente implementación de auditorías de servicios de terceros</v>
      </c>
    </row>
    <row r="201" spans="2:3" x14ac:dyDescent="0.45">
      <c r="B201" s="2" t="s">
        <v>149</v>
      </c>
      <c r="C201" t="str">
        <f t="shared" si="3"/>
        <v>Falta de acuerdos formales</v>
      </c>
    </row>
    <row r="202" spans="2:3" x14ac:dyDescent="0.45">
      <c r="B202" s="2" t="s">
        <v>150</v>
      </c>
      <c r="C202" t="str">
        <f t="shared" si="3"/>
        <v>Falta de control sobre dónde almacena la información de terceros</v>
      </c>
    </row>
    <row r="203" spans="2:3" x14ac:dyDescent="0.45">
      <c r="B203" s="2" t="s">
        <v>151</v>
      </c>
      <c r="C203" t="str">
        <f t="shared" si="3"/>
        <v>No está claro si terceros mantendrán sus operaciones comerciales</v>
      </c>
    </row>
    <row r="204" spans="2:3" x14ac:dyDescent="0.45">
      <c r="B204" s="2" t="s">
        <v>152</v>
      </c>
      <c r="C204" t="str">
        <f t="shared" si="3"/>
        <v>Infraestructura o equipamiento incompatibles</v>
      </c>
    </row>
    <row r="205" spans="2:3" x14ac:dyDescent="0.45">
      <c r="B205" s="7" t="s">
        <v>153</v>
      </c>
      <c r="C205" t="str">
        <f t="shared" si="3"/>
        <v>Paso 2 / 3</v>
      </c>
    </row>
    <row r="206" spans="2:3" x14ac:dyDescent="0.45">
      <c r="B206" s="8" t="s">
        <v>154</v>
      </c>
      <c r="C206" t="str">
        <f t="shared" si="3"/>
        <v>Continúa</v>
      </c>
    </row>
  </sheetData>
  <autoFilter ref="B2:B206" xr:uid="{CFCF357A-3EB0-4046-9053-841010D3EF3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6782F-DA61-4175-9E92-47B5C6CAAFE3}">
  <dimension ref="A1:J175"/>
  <sheetViews>
    <sheetView showGridLines="0" topLeftCell="D1" workbookViewId="0">
      <selection activeCell="F3" sqref="F3"/>
    </sheetView>
  </sheetViews>
  <sheetFormatPr baseColWidth="10" defaultRowHeight="14.25" x14ac:dyDescent="0.45"/>
  <cols>
    <col min="1" max="1" width="41.33203125" bestFit="1" customWidth="1"/>
    <col min="2" max="2" width="68.3984375" bestFit="1" customWidth="1"/>
    <col min="3" max="3" width="68.3984375" customWidth="1"/>
    <col min="5" max="5" width="38.46484375" bestFit="1" customWidth="1"/>
    <col min="6" max="6" width="39.86328125" customWidth="1"/>
    <col min="9" max="9" width="27.19921875" customWidth="1"/>
    <col min="10" max="10" width="35.06640625" customWidth="1"/>
  </cols>
  <sheetData>
    <row r="1" spans="1:10" x14ac:dyDescent="0.45">
      <c r="A1" s="26" t="s">
        <v>19</v>
      </c>
      <c r="B1" s="27"/>
      <c r="C1" s="30"/>
    </row>
    <row r="2" spans="1:10" s="21" customFormat="1" x14ac:dyDescent="0.45">
      <c r="A2" s="28" t="s">
        <v>211</v>
      </c>
      <c r="B2" s="29" t="s">
        <v>212</v>
      </c>
      <c r="C2" s="31" t="s">
        <v>214</v>
      </c>
      <c r="E2" s="21" t="s">
        <v>207</v>
      </c>
      <c r="F2" s="31" t="s">
        <v>214</v>
      </c>
      <c r="I2" s="21" t="s">
        <v>213</v>
      </c>
      <c r="J2" s="31" t="s">
        <v>214</v>
      </c>
    </row>
    <row r="3" spans="1:10" x14ac:dyDescent="0.45">
      <c r="A3" s="22" t="s">
        <v>210</v>
      </c>
      <c r="B3" s="23" t="s">
        <v>1</v>
      </c>
      <c r="C3" t="str">
        <f t="shared" ref="C3:C62" si="0">_xlfn.TRANSLATE(B3,"en","es")</f>
        <v>Oficinas / instalaciones</v>
      </c>
      <c r="E3" s="20" t="s">
        <v>102</v>
      </c>
      <c r="F3" t="str">
        <f t="shared" ref="F3:F66" si="1">_xlfn.TRANSLATE(E3,"en","es")</f>
        <v>Los derechos de acceso se conceden más allá de lo necesario</v>
      </c>
      <c r="I3" s="20" t="s">
        <v>190</v>
      </c>
      <c r="J3" t="str">
        <f t="shared" ref="J3:K18" si="2">_xlfn.TRANSLATE(I3,"en","es")</f>
        <v>Sistema de acceso a la información con intención maliciosa</v>
      </c>
    </row>
    <row r="4" spans="1:10" x14ac:dyDescent="0.45">
      <c r="A4" s="22" t="s">
        <v>210</v>
      </c>
      <c r="B4" s="23" t="s">
        <v>2</v>
      </c>
      <c r="C4" t="str">
        <f t="shared" si="0"/>
        <v>Instalaciones de producción</v>
      </c>
      <c r="E4" s="20" t="s">
        <v>19</v>
      </c>
      <c r="F4" t="str">
        <f t="shared" si="1"/>
        <v>Activos</v>
      </c>
      <c r="I4" s="20" t="s">
        <v>197</v>
      </c>
      <c r="J4" t="str">
        <f t="shared" si="2"/>
        <v>Error de aplicación</v>
      </c>
    </row>
    <row r="5" spans="1:10" x14ac:dyDescent="0.45">
      <c r="A5" s="22" t="s">
        <v>210</v>
      </c>
      <c r="B5" s="23" t="s">
        <v>3</v>
      </c>
      <c r="C5" t="str">
        <f t="shared" si="0"/>
        <v>Cableado de infraestructuras (por ejemplo, eléctrico, de puesta a tierra, etc.)</v>
      </c>
      <c r="E5" s="20" t="s">
        <v>143</v>
      </c>
      <c r="F5" t="str">
        <f t="shared" si="1"/>
        <v>Los activos permanecen en manos de proveedores/socios tras el fin de la relación</v>
      </c>
      <c r="I5" s="20" t="s">
        <v>204</v>
      </c>
      <c r="J5" t="str">
        <f t="shared" si="2"/>
        <v>Ataque a través de equipo/servicio externalizado (comprometiendo la cadena de suministro)</v>
      </c>
    </row>
    <row r="6" spans="1:10" x14ac:dyDescent="0.45">
      <c r="A6" s="22" t="s">
        <v>210</v>
      </c>
      <c r="B6" s="23" t="s">
        <v>4</v>
      </c>
      <c r="C6" t="str">
        <f t="shared" si="0"/>
        <v>Servicios básicos (por ejemplo, electricidad, agua, alcantarillado, climatización, aire acondicionado, supresión de incendios, etc.)</v>
      </c>
      <c r="E6" s="20" t="s">
        <v>122</v>
      </c>
      <c r="F6" t="str">
        <f t="shared" si="1"/>
        <v>No existe respaldo ni se realiza regularmente</v>
      </c>
      <c r="I6" s="20" t="s">
        <v>177</v>
      </c>
      <c r="J6" t="str">
        <f t="shared" si="2"/>
        <v>Incumplimiento de contratos o acuerdos</v>
      </c>
    </row>
    <row r="7" spans="1:10" x14ac:dyDescent="0.45">
      <c r="A7" s="22" t="s">
        <v>210</v>
      </c>
      <c r="B7" s="23" t="s">
        <v>5</v>
      </c>
      <c r="C7" t="str">
        <f t="shared" si="0"/>
        <v>Sala de servidores o centro de datos</v>
      </c>
      <c r="E7" s="20" t="s">
        <v>120</v>
      </c>
      <c r="F7" t="str">
        <f t="shared" si="1"/>
        <v>Interfaz de usuario complicada</v>
      </c>
      <c r="I7" s="20" t="s">
        <v>178</v>
      </c>
      <c r="J7" t="str">
        <f t="shared" si="2"/>
        <v>Incumplimiento de leyes o reglamentos</v>
      </c>
    </row>
    <row r="8" spans="1:10" x14ac:dyDescent="0.45">
      <c r="A8" s="22" t="s">
        <v>210</v>
      </c>
      <c r="B8" s="23" t="s">
        <v>6</v>
      </c>
      <c r="C8" t="str">
        <f t="shared" si="0"/>
        <v>Espacio de trabajo remoto</v>
      </c>
      <c r="E8" s="20" t="s">
        <v>132</v>
      </c>
      <c r="F8" t="str">
        <f t="shared" si="1"/>
        <v>Nivel de confidencialidad no claramente definido</v>
      </c>
      <c r="I8" s="20" t="s">
        <v>174</v>
      </c>
      <c r="J8" t="str">
        <f t="shared" si="2"/>
        <v>Ruptura de los enlaces de comunicación</v>
      </c>
    </row>
    <row r="9" spans="1:10" x14ac:dyDescent="0.45">
      <c r="A9" s="22" t="s">
        <v>210</v>
      </c>
      <c r="B9" s="23" t="s">
        <v>7</v>
      </c>
      <c r="C9" t="str">
        <f t="shared" si="0"/>
        <v>Archivos</v>
      </c>
      <c r="E9" s="20" t="s">
        <v>82</v>
      </c>
      <c r="F9" t="str">
        <f t="shared" si="1"/>
        <v>Claves criptográficas accesibles para personas no autorizadas</v>
      </c>
      <c r="I9" s="20" t="s">
        <v>170</v>
      </c>
      <c r="J9" t="str">
        <f t="shared" si="2"/>
        <v>Ocultación de la identidad del usuario</v>
      </c>
    </row>
    <row r="10" spans="1:10" x14ac:dyDescent="0.45">
      <c r="A10" s="22" t="s">
        <v>210</v>
      </c>
      <c r="B10" s="23" t="s">
        <v>8</v>
      </c>
      <c r="C10" t="str">
        <f t="shared" si="0"/>
        <v>Almacenes</v>
      </c>
      <c r="E10" s="20" t="s">
        <v>80</v>
      </c>
      <c r="F10" t="str">
        <f t="shared" si="1"/>
        <v>Eliminación de medios de almacenamiento sin borrar datos</v>
      </c>
      <c r="I10" s="20" t="s">
        <v>201</v>
      </c>
      <c r="J10" t="str">
        <f t="shared" si="2"/>
        <v>Robo de datos / información</v>
      </c>
    </row>
    <row r="11" spans="1:10" x14ac:dyDescent="0.45">
      <c r="A11" s="22" t="s">
        <v>210</v>
      </c>
      <c r="B11" s="23" t="s">
        <v>9</v>
      </c>
      <c r="C11" t="str">
        <f t="shared" si="0"/>
        <v>Cajas fuertes</v>
      </c>
      <c r="E11" s="20" t="s">
        <v>100</v>
      </c>
      <c r="F11" t="str">
        <f t="shared" si="1"/>
        <v>Descargas de Internet no controladas</v>
      </c>
      <c r="I11" s="20" t="s">
        <v>173</v>
      </c>
      <c r="J11" t="str">
        <f t="shared" si="2"/>
        <v>Ataque de denegación de servicio</v>
      </c>
    </row>
    <row r="12" spans="1:10" x14ac:dyDescent="0.45">
      <c r="A12" s="22" t="s">
        <v>210</v>
      </c>
      <c r="B12" s="23" t="s">
        <v>10</v>
      </c>
      <c r="C12" t="str">
        <f t="shared" si="0"/>
        <v>Gabinetes</v>
      </c>
      <c r="E12" s="20" t="s">
        <v>98</v>
      </c>
      <c r="F12" t="str">
        <f t="shared" si="1"/>
        <v>Equipamiento inadecuado / incompatible</v>
      </c>
      <c r="I12" s="20" t="s">
        <v>165</v>
      </c>
      <c r="J12" t="str">
        <f t="shared" si="2"/>
        <v>Terremoto</v>
      </c>
    </row>
    <row r="13" spans="1:10" x14ac:dyDescent="0.45">
      <c r="A13" s="22" t="s">
        <v>210</v>
      </c>
      <c r="B13" s="23" t="s">
        <v>11</v>
      </c>
      <c r="C13" t="str">
        <f t="shared" si="0"/>
        <v>Dispositivos de alimentación unitrrumpible (SAI)</v>
      </c>
      <c r="E13" s="20" t="s">
        <v>96</v>
      </c>
      <c r="F13" t="str">
        <f t="shared" si="1"/>
        <v>Capacidad insuficiente de equipos de TI / comunicación</v>
      </c>
      <c r="I13" s="20" t="s">
        <v>171</v>
      </c>
      <c r="J13" t="str">
        <f t="shared" si="2"/>
        <v>Escuchar a escondidas.</v>
      </c>
    </row>
    <row r="14" spans="1:10" x14ac:dyDescent="0.45">
      <c r="A14" s="22" t="s">
        <v>210</v>
      </c>
      <c r="B14" s="23" t="s">
        <v>12</v>
      </c>
      <c r="C14" t="str">
        <f t="shared" si="0"/>
        <v>Generadores eléctricos</v>
      </c>
      <c r="E14" s="20" t="s">
        <v>131</v>
      </c>
      <c r="F14" t="str">
        <f t="shared" si="1"/>
        <v>Control inadecuado de cambios en documentos y datos</v>
      </c>
      <c r="I14" s="20" t="s">
        <v>175</v>
      </c>
      <c r="J14" t="str">
        <f t="shared" si="2"/>
        <v>Fallo del equipo</v>
      </c>
    </row>
    <row r="15" spans="1:10" x14ac:dyDescent="0.45">
      <c r="A15" s="22" t="s">
        <v>210</v>
      </c>
      <c r="B15" s="23" t="s">
        <v>13</v>
      </c>
      <c r="C15" t="str">
        <f t="shared" si="0"/>
        <v>Vehículos</v>
      </c>
      <c r="E15" s="20" t="s">
        <v>94</v>
      </c>
      <c r="F15" t="str">
        <f t="shared" si="1"/>
        <v>Control inadecuado de cambios en equipos de TI / comunicaciones</v>
      </c>
      <c r="I15" s="20" t="s">
        <v>172</v>
      </c>
      <c r="J15" t="str">
        <f t="shared" si="2"/>
        <v>Manipulación de equipos</v>
      </c>
    </row>
    <row r="16" spans="1:10" x14ac:dyDescent="0.45">
      <c r="A16" s="22" t="s">
        <v>210</v>
      </c>
      <c r="B16" s="23" t="s">
        <v>14</v>
      </c>
      <c r="C16" t="str">
        <f t="shared" si="0"/>
        <v>Teclas</v>
      </c>
      <c r="E16" s="20" t="s">
        <v>118</v>
      </c>
      <c r="F16" t="str">
        <f t="shared" si="1"/>
        <v>Control de cambios inadecuado del software y sus bases de datos</v>
      </c>
      <c r="I16" s="20" t="s">
        <v>203</v>
      </c>
      <c r="J16" t="str">
        <f t="shared" si="2"/>
        <v>Errores o interrupciones del servicio de proveedores externos</v>
      </c>
    </row>
    <row r="17" spans="1:10" x14ac:dyDescent="0.45">
      <c r="A17" s="22" t="s">
        <v>210</v>
      </c>
      <c r="B17" s="23" t="s">
        <v>15</v>
      </c>
      <c r="C17" t="str">
        <f t="shared" si="0"/>
        <v>Sistemas de alarma</v>
      </c>
      <c r="E17" s="20" t="s">
        <v>73</v>
      </c>
      <c r="F17" t="str">
        <f t="shared" si="1"/>
        <v>Cableado eléctrico inadecuado</v>
      </c>
      <c r="I17" s="20" t="s">
        <v>161</v>
      </c>
      <c r="J17" t="str">
        <f t="shared" si="2"/>
        <v>Incendio</v>
      </c>
    </row>
    <row r="18" spans="1:10" x14ac:dyDescent="0.45">
      <c r="A18" s="22" t="s">
        <v>210</v>
      </c>
      <c r="B18" s="23" t="s">
        <v>16</v>
      </c>
      <c r="C18" t="str">
        <f t="shared" si="0"/>
        <v>Cámaras de vigilancia y CCTV</v>
      </c>
      <c r="E18" s="20" t="s">
        <v>71</v>
      </c>
      <c r="F18" t="str">
        <f t="shared" si="1"/>
        <v>Capacidad de infraestructura insuficiente</v>
      </c>
      <c r="I18" s="20" t="s">
        <v>162</v>
      </c>
      <c r="J18" t="str">
        <f t="shared" si="2"/>
        <v>Inundación</v>
      </c>
    </row>
    <row r="19" spans="1:10" x14ac:dyDescent="0.45">
      <c r="A19" s="22" t="s">
        <v>210</v>
      </c>
      <c r="B19" s="23" t="s">
        <v>17</v>
      </c>
      <c r="C19" t="str">
        <f t="shared" si="0"/>
        <v>Tarjetas y lectores de tarjetas</v>
      </c>
      <c r="E19" s="20" t="s">
        <v>72</v>
      </c>
      <c r="F19" t="str">
        <f t="shared" si="1"/>
        <v>Control inadecuado de cambios en infraestructuras</v>
      </c>
      <c r="I19" s="20" t="s">
        <v>179</v>
      </c>
      <c r="J19" t="str">
        <f t="shared" ref="J19:J50" si="3">_xlfn.TRANSLATE(I19,"en","es")</f>
        <v>Uso inadecuado de sistemas o información informática</v>
      </c>
    </row>
    <row r="20" spans="1:10" x14ac:dyDescent="0.45">
      <c r="A20" s="22" t="s">
        <v>18</v>
      </c>
      <c r="B20" s="23" t="s">
        <v>20</v>
      </c>
      <c r="C20" t="str">
        <f t="shared" si="0"/>
        <v>Ordenadores de sobremesa</v>
      </c>
      <c r="E20" s="20" t="s">
        <v>91</v>
      </c>
      <c r="F20" t="str">
        <f t="shared" si="1"/>
        <v>Cableado informático inadecuado</v>
      </c>
      <c r="I20" s="20" t="s">
        <v>195</v>
      </c>
      <c r="J20" t="str">
        <f t="shared" si="3"/>
        <v>Manejo inapropiado de la información de autenticación (por ejemplo, contraseñas)</v>
      </c>
    </row>
    <row r="21" spans="1:10" x14ac:dyDescent="0.45">
      <c r="A21" s="22" t="s">
        <v>18</v>
      </c>
      <c r="B21" s="23" t="s">
        <v>21</v>
      </c>
      <c r="C21" t="str">
        <f t="shared" si="0"/>
        <v>Cableado IT (por ejemplo, coaxial, fibra, ethernet, etc.)</v>
      </c>
      <c r="E21" s="20" t="s">
        <v>139</v>
      </c>
      <c r="F21" t="str">
        <f t="shared" si="1"/>
        <v>Nivel insuficiente de conocimiento y/o conciencia</v>
      </c>
      <c r="I21" s="20" t="s">
        <v>167</v>
      </c>
      <c r="J21" t="str">
        <f t="shared" si="3"/>
        <v>Accidente industrial</v>
      </c>
    </row>
    <row r="22" spans="1:10" x14ac:dyDescent="0.45">
      <c r="A22" s="22" t="s">
        <v>18</v>
      </c>
      <c r="B22" s="23" t="s">
        <v>22</v>
      </c>
      <c r="C22" t="str">
        <f t="shared" si="0"/>
        <v>Servidores</v>
      </c>
      <c r="E22" s="20" t="s">
        <v>81</v>
      </c>
      <c r="F22" t="str">
        <f t="shared" si="1"/>
        <v>Mantenimiento inadecuado de equipos de TI / comunicaciones</v>
      </c>
      <c r="I22" s="20" t="s">
        <v>199</v>
      </c>
      <c r="J22" t="str">
        <f t="shared" si="3"/>
        <v>Espionaje industrial</v>
      </c>
    </row>
    <row r="23" spans="1:10" x14ac:dyDescent="0.45">
      <c r="A23" s="22" t="s">
        <v>18</v>
      </c>
      <c r="B23" s="23" t="s">
        <v>23</v>
      </c>
      <c r="C23" t="str">
        <f t="shared" si="0"/>
        <v>Equipos de medición</v>
      </c>
      <c r="E23" s="20" t="s">
        <v>88</v>
      </c>
      <c r="F23" t="str">
        <f t="shared" si="1"/>
        <v>Gestión inadecuada de la red</v>
      </c>
      <c r="I23" s="20" t="s">
        <v>188</v>
      </c>
      <c r="J23" t="str">
        <f t="shared" si="3"/>
        <v>Infección por software malicioso (por ejemplo, virus, troyano, etc.)</v>
      </c>
    </row>
    <row r="24" spans="1:10" x14ac:dyDescent="0.45">
      <c r="A24" s="22" t="s">
        <v>18</v>
      </c>
      <c r="B24" s="23" t="s">
        <v>24</v>
      </c>
      <c r="C24" t="str">
        <f t="shared" si="0"/>
        <v>Teléfonos de sobremesa</v>
      </c>
      <c r="E24" s="20" t="s">
        <v>130</v>
      </c>
      <c r="F24" t="str">
        <f t="shared" si="1"/>
        <v>Protección física insuficiente de documentos</v>
      </c>
      <c r="I24" s="20" t="s">
        <v>191</v>
      </c>
      <c r="J24" t="str">
        <f t="shared" si="3"/>
        <v>Instalación de software con intención maliciosa</v>
      </c>
    </row>
    <row r="25" spans="1:10" x14ac:dyDescent="0.45">
      <c r="A25" s="22" t="s">
        <v>18</v>
      </c>
      <c r="B25" s="23" t="s">
        <v>25</v>
      </c>
      <c r="C25" t="str">
        <f t="shared" si="0"/>
        <v>WAN inalámbrico (incluye activos WAN además de wi-fi y/o bluetooth, routers, adaptadores, puntos de acceso, etc.)</v>
      </c>
      <c r="E25" s="20" t="s">
        <v>140</v>
      </c>
      <c r="F25" t="str">
        <f t="shared" si="1"/>
        <v>Segregación insuficiente de funciones</v>
      </c>
      <c r="I25" s="20" t="s">
        <v>168</v>
      </c>
      <c r="J25" t="str">
        <f t="shared" si="3"/>
        <v>Interrupción de los servicios de comunicación</v>
      </c>
    </row>
    <row r="26" spans="1:10" x14ac:dyDescent="0.45">
      <c r="A26" s="22" t="s">
        <v>18</v>
      </c>
      <c r="B26" s="23" t="s">
        <v>26</v>
      </c>
      <c r="C26" t="str">
        <f t="shared" si="0"/>
        <v>LAN inalámbrica (incluye wi-fi y/o bluetooth, routers, adaptadores, puntos de acceso, etc.)</v>
      </c>
      <c r="E26" s="20" t="s">
        <v>141</v>
      </c>
      <c r="F26" t="str">
        <f t="shared" si="1"/>
        <v>Supervisión inadecuada de proveedores externos</v>
      </c>
      <c r="I26" s="20" t="s">
        <v>164</v>
      </c>
      <c r="J26" t="str">
        <f t="shared" si="3"/>
        <v>Rayo</v>
      </c>
    </row>
    <row r="27" spans="1:10" x14ac:dyDescent="0.45">
      <c r="A27" s="22" t="s">
        <v>18</v>
      </c>
      <c r="B27" s="23" t="s">
        <v>27</v>
      </c>
      <c r="C27" t="str">
        <f t="shared" si="0"/>
        <v>Medios de almacenamiento</v>
      </c>
      <c r="E27" s="20" t="s">
        <v>138</v>
      </c>
      <c r="F27" t="str">
        <f t="shared" si="1"/>
        <v>Supervisión inadecuada del trabajo</v>
      </c>
      <c r="I27" s="20" t="s">
        <v>176</v>
      </c>
      <c r="J27" t="str">
        <f t="shared" si="3"/>
        <v>Errores de mantenimiento</v>
      </c>
    </row>
    <row r="28" spans="1:10" x14ac:dyDescent="0.45">
      <c r="A28" s="22" t="s">
        <v>18</v>
      </c>
      <c r="B28" s="23" t="s">
        <v>28</v>
      </c>
      <c r="C28" t="str">
        <f t="shared" si="0"/>
        <v>Impresoras, faxes, escáneres, fotocopiadoras y otros periféricos</v>
      </c>
      <c r="E28" s="20" t="s">
        <v>69</v>
      </c>
      <c r="F28" t="str">
        <f t="shared" si="1"/>
        <v>Infraestructura incompatible</v>
      </c>
      <c r="I28" s="20" t="s">
        <v>196</v>
      </c>
      <c r="J28" t="str">
        <f t="shared" si="3"/>
        <v>Divulgación maliciosa de contraseñas</v>
      </c>
    </row>
    <row r="29" spans="1:10" x14ac:dyDescent="0.45">
      <c r="A29" s="22" t="s">
        <v>18</v>
      </c>
      <c r="B29" s="23" t="s">
        <v>29</v>
      </c>
      <c r="C29" t="str">
        <f t="shared" si="0"/>
        <v>Equipos de red (por ejemplo, cortafuegos, routers y switches)</v>
      </c>
      <c r="E29" s="20" t="s">
        <v>152</v>
      </c>
      <c r="F29" t="str">
        <f t="shared" si="1"/>
        <v>Infraestructura o equipamiento incompatibles</v>
      </c>
      <c r="I29" s="20" t="s">
        <v>202</v>
      </c>
      <c r="J29" t="str">
        <f t="shared" si="3"/>
        <v>Filtración/divulgación maliciosa de información</v>
      </c>
    </row>
    <row r="30" spans="1:10" x14ac:dyDescent="0.45">
      <c r="A30" s="22" t="s">
        <v>18</v>
      </c>
      <c r="B30" s="23" t="s">
        <v>30</v>
      </c>
      <c r="C30" t="str">
        <f t="shared" si="0"/>
        <v>Dispositivos móviles (por ejemplo, portátiles, portátiles, tabletas, smartphones, PDAs)</v>
      </c>
      <c r="E30" s="20" t="s">
        <v>151</v>
      </c>
      <c r="F30" t="str">
        <f t="shared" si="1"/>
        <v>No está claro si terceros mantendrán sus operaciones comerciales</v>
      </c>
      <c r="I30" s="20" t="s">
        <v>194</v>
      </c>
      <c r="J30" t="str">
        <f t="shared" si="3"/>
        <v>Error malicioso del usuario</v>
      </c>
    </row>
    <row r="31" spans="1:10" x14ac:dyDescent="0.45">
      <c r="A31" s="22" t="s">
        <v>31</v>
      </c>
      <c r="B31" s="23" t="s">
        <v>32</v>
      </c>
      <c r="C31" t="str">
        <f t="shared" si="0"/>
        <v>Bases de datos</v>
      </c>
      <c r="E31" s="20" t="s">
        <v>68</v>
      </c>
      <c r="F31" t="str">
        <f t="shared" si="1"/>
        <v>Falta de mantenimiento o insuficiente</v>
      </c>
      <c r="I31" s="20" t="s">
        <v>157</v>
      </c>
      <c r="J31" t="str">
        <f t="shared" si="3"/>
        <v>Manipulación o destrucción de equipos</v>
      </c>
    </row>
    <row r="32" spans="1:10" x14ac:dyDescent="0.45">
      <c r="A32" s="22" t="s">
        <v>31</v>
      </c>
      <c r="B32" s="23" t="s">
        <v>33</v>
      </c>
      <c r="C32" t="str">
        <f t="shared" si="0"/>
        <v>Diversas herramientas de software</v>
      </c>
      <c r="E32" s="20" t="s">
        <v>116</v>
      </c>
      <c r="F32" t="str">
        <f t="shared" si="1"/>
        <v>Falta de software antivirus o no actualizado</v>
      </c>
      <c r="I32" s="20" t="s">
        <v>189</v>
      </c>
      <c r="J32" t="str">
        <f t="shared" si="3"/>
        <v>Uso indebido de herramientas de auditoría</v>
      </c>
    </row>
    <row r="33" spans="1:10" x14ac:dyDescent="0.45">
      <c r="A33" s="22" t="s">
        <v>31</v>
      </c>
      <c r="B33" s="23" t="s">
        <v>34</v>
      </c>
      <c r="C33" t="str">
        <f t="shared" si="0"/>
        <v>Sistemas de gestión de bases de datos</v>
      </c>
      <c r="E33" s="20" t="s">
        <v>129</v>
      </c>
      <c r="F33" t="str">
        <f t="shared" si="1"/>
        <v>Falta de / mala auditoría interna de documentos y datos</v>
      </c>
      <c r="I33" s="20" t="s">
        <v>163</v>
      </c>
      <c r="J33" t="str">
        <f t="shared" si="3"/>
        <v>Otros desastres (naturales)</v>
      </c>
    </row>
    <row r="34" spans="1:10" x14ac:dyDescent="0.45">
      <c r="A34" s="22" t="s">
        <v>31</v>
      </c>
      <c r="B34" s="23" t="s">
        <v>35</v>
      </c>
      <c r="C34" t="str">
        <f t="shared" si="0"/>
        <v>Sistemas operativos</v>
      </c>
      <c r="E34" s="20" t="s">
        <v>137</v>
      </c>
      <c r="F34" t="str">
        <f t="shared" si="1"/>
        <v>Falta de auditoría interna o deficiente de recursos humanos</v>
      </c>
      <c r="I34" s="20" t="s">
        <v>166</v>
      </c>
      <c r="J34" t="str">
        <f t="shared" si="3"/>
        <v>Tormenta</v>
      </c>
    </row>
    <row r="35" spans="1:10" x14ac:dyDescent="0.45">
      <c r="A35" s="22" t="s">
        <v>31</v>
      </c>
      <c r="B35" s="23" t="s">
        <v>36</v>
      </c>
      <c r="C35" t="str">
        <f t="shared" si="0"/>
        <v>Software personalizado de terceros</v>
      </c>
      <c r="E35" s="20" t="s">
        <v>74</v>
      </c>
      <c r="F35" t="str">
        <f t="shared" si="1"/>
        <v>Falta de / mala auditoría interna de la infraestructura</v>
      </c>
      <c r="I35" s="20" t="s">
        <v>160</v>
      </c>
      <c r="J35" t="str">
        <f t="shared" si="3"/>
        <v>Atentado terrorista (bomba, tiroteo, etc.)</v>
      </c>
    </row>
    <row r="36" spans="1:10" x14ac:dyDescent="0.45">
      <c r="A36" s="22" t="s">
        <v>31</v>
      </c>
      <c r="B36" s="23" t="s">
        <v>37</v>
      </c>
      <c r="C36" t="str">
        <f t="shared" si="0"/>
        <v>Software desarrollado internamente</v>
      </c>
      <c r="E36" s="20" t="s">
        <v>86</v>
      </c>
      <c r="F36" t="str">
        <f t="shared" si="1"/>
        <v>Falta de / deficiente auditoría interna de equipos de TI / comunicaciones</v>
      </c>
      <c r="I36" s="20" t="s">
        <v>159</v>
      </c>
      <c r="J36" t="str">
        <f t="shared" si="3"/>
        <v>Robo, vandalismo o sabotaje</v>
      </c>
    </row>
    <row r="37" spans="1:10" x14ac:dyDescent="0.45">
      <c r="A37" s="22" t="s">
        <v>31</v>
      </c>
      <c r="B37" s="23" t="s">
        <v>38</v>
      </c>
      <c r="C37" t="str">
        <f t="shared" si="0"/>
        <v>Aplicaciones de terceros listas para usar (por ejemplo, suite de oficina)</v>
      </c>
      <c r="E37" s="20" t="s">
        <v>113</v>
      </c>
      <c r="F37" t="str">
        <f t="shared" si="1"/>
        <v>Falta de auditoría interna o deficiente del software y sus bases de datos</v>
      </c>
      <c r="I37" s="20" t="s">
        <v>169</v>
      </c>
      <c r="J37" t="str">
        <f t="shared" si="3"/>
        <v>Acceso no autorizado a equipos, armarios, etc.</v>
      </c>
    </row>
    <row r="38" spans="1:10" x14ac:dyDescent="0.45">
      <c r="A38" s="22" t="s">
        <v>39</v>
      </c>
      <c r="B38" s="23" t="s">
        <v>40</v>
      </c>
      <c r="C38" t="str">
        <f t="shared" si="0"/>
        <v>Documentación del equipo</v>
      </c>
      <c r="E38" s="20" t="s">
        <v>70</v>
      </c>
      <c r="F38" t="str">
        <f t="shared" si="1"/>
        <v>Falta de controles de acceso a instalaciones, habitaciones u oficinas</v>
      </c>
      <c r="I38" s="20" t="s">
        <v>158</v>
      </c>
      <c r="J38" t="str">
        <f t="shared" si="3"/>
        <v>Entrada no autorizada en instalaciones, habitaciones u oficinas</v>
      </c>
    </row>
    <row r="39" spans="1:10" x14ac:dyDescent="0.45">
      <c r="A39" s="22" t="s">
        <v>39</v>
      </c>
      <c r="B39" s="23" t="s">
        <v>41</v>
      </c>
      <c r="C39" t="str">
        <f t="shared" si="0"/>
        <v>Registros y registros</v>
      </c>
      <c r="E39" s="20" t="s">
        <v>84</v>
      </c>
      <c r="F39" t="str">
        <f t="shared" si="1"/>
        <v>Falta de una fuente de alimentación alternativa</v>
      </c>
      <c r="I39" s="20" t="s">
        <v>187</v>
      </c>
      <c r="J39" t="str">
        <f t="shared" si="3"/>
        <v>Uso, manipulación o destrucción no autorizada de software</v>
      </c>
    </row>
    <row r="40" spans="1:10" x14ac:dyDescent="0.45">
      <c r="A40" s="22" t="s">
        <v>39</v>
      </c>
      <c r="B40" s="23" t="s">
        <v>42</v>
      </c>
      <c r="C40" t="str">
        <f t="shared" si="0"/>
        <v>Datos de terceros (sin incluir datos personales)</v>
      </c>
      <c r="E40" s="20" t="s">
        <v>150</v>
      </c>
      <c r="F40" t="str">
        <f t="shared" si="1"/>
        <v>Falta de control sobre dónde almacena la información de terceros</v>
      </c>
      <c r="I40" s="20" t="s">
        <v>181</v>
      </c>
      <c r="J40" t="str">
        <f t="shared" si="3"/>
        <v>Acceso no intencionado a sistemas de información</v>
      </c>
    </row>
    <row r="41" spans="1:10" x14ac:dyDescent="0.45">
      <c r="A41" s="22" t="s">
        <v>39</v>
      </c>
      <c r="B41" s="23" t="s">
        <v>43</v>
      </c>
      <c r="C41" t="str">
        <f t="shared" si="0"/>
        <v>Datos personales (por ejemplo, de empleados o clientes)</v>
      </c>
      <c r="E41" s="20" t="s">
        <v>103</v>
      </c>
      <c r="F41" t="str">
        <f t="shared" si="1"/>
        <v>Falta de pruebas de mensajes enviados o recibidos</v>
      </c>
      <c r="I41" s="20" t="s">
        <v>200</v>
      </c>
      <c r="J41" t="str">
        <f t="shared" si="3"/>
        <v>Acceso no intencionado a datos físicos</v>
      </c>
    </row>
    <row r="42" spans="1:10" x14ac:dyDescent="0.45">
      <c r="A42" s="22" t="s">
        <v>39</v>
      </c>
      <c r="B42" s="23" t="s">
        <v>44</v>
      </c>
      <c r="C42" t="str">
        <f t="shared" si="0"/>
        <v>Datos propietarios</v>
      </c>
      <c r="E42" s="20" t="s">
        <v>149</v>
      </c>
      <c r="F42" t="str">
        <f t="shared" si="1"/>
        <v>Falta de acuerdos formales</v>
      </c>
      <c r="I42" s="20" t="s">
        <v>180</v>
      </c>
      <c r="J42" t="str">
        <f t="shared" si="3"/>
        <v>Cambio no intencionado de datos en un sistema de información</v>
      </c>
    </row>
    <row r="43" spans="1:10" x14ac:dyDescent="0.45">
      <c r="A43" s="22" t="s">
        <v>39</v>
      </c>
      <c r="B43" s="23" t="s">
        <v>45</v>
      </c>
      <c r="C43" t="str">
        <f t="shared" si="0"/>
        <v>Políticas, procedimientos, planes e instrucciones de trabajo</v>
      </c>
      <c r="E43" s="20" t="s">
        <v>110</v>
      </c>
      <c r="F43" t="str">
        <f t="shared" si="1"/>
        <v>Falta de información sobre quién utiliza los sistemas de información</v>
      </c>
      <c r="I43" s="20" t="s">
        <v>186</v>
      </c>
      <c r="J43" t="str">
        <f t="shared" si="3"/>
        <v>Daños no intencionados sufridos durante las pruebas de penetración</v>
      </c>
    </row>
    <row r="44" spans="1:10" x14ac:dyDescent="0.45">
      <c r="A44" s="22" t="s">
        <v>39</v>
      </c>
      <c r="B44" s="23" t="s">
        <v>46</v>
      </c>
      <c r="C44" t="str">
        <f t="shared" si="0"/>
        <v>Leyes, reglamentos, contratos y acuerdos</v>
      </c>
      <c r="E44" s="20" t="s">
        <v>108</v>
      </c>
      <c r="F44" t="str">
        <f t="shared" si="1"/>
        <v>Falta de control de datos de entrada y salida</v>
      </c>
      <c r="I44" s="20" t="s">
        <v>198</v>
      </c>
      <c r="J44" t="str">
        <f t="shared" si="3"/>
        <v>Divulgación no intencionada de datos / información</v>
      </c>
    </row>
    <row r="45" spans="1:10" x14ac:dyDescent="0.45">
      <c r="A45" s="22" t="s">
        <v>39</v>
      </c>
      <c r="B45" s="23" t="s">
        <v>47</v>
      </c>
      <c r="C45" t="str">
        <f t="shared" si="0"/>
        <v>Documentación de formación</v>
      </c>
      <c r="E45" s="20" t="s">
        <v>148</v>
      </c>
      <c r="F45" t="str">
        <f t="shared" si="1"/>
        <v>Falta o deficiente implementación de auditorías de servicios de terceros</v>
      </c>
      <c r="I45" s="20" t="s">
        <v>182</v>
      </c>
      <c r="J45" t="str">
        <f t="shared" si="3"/>
        <v>Instalación no intencionada de software</v>
      </c>
    </row>
    <row r="46" spans="1:10" x14ac:dyDescent="0.45">
      <c r="A46" s="22" t="s">
        <v>48</v>
      </c>
      <c r="B46" s="23" t="s">
        <v>49</v>
      </c>
      <c r="C46" t="str">
        <f t="shared" si="0"/>
        <v>Visitantes</v>
      </c>
      <c r="E46" s="20" t="s">
        <v>106</v>
      </c>
      <c r="F46" t="str">
        <f t="shared" si="1"/>
        <v>Falta de validación para los datos procesados</v>
      </c>
      <c r="I46" s="20" t="s">
        <v>183</v>
      </c>
      <c r="J46" t="str">
        <f t="shared" si="3"/>
        <v>Uso no intencionado de materiales licenciados</v>
      </c>
    </row>
    <row r="47" spans="1:10" x14ac:dyDescent="0.45">
      <c r="A47" s="22" t="s">
        <v>48</v>
      </c>
      <c r="B47" s="23" t="s">
        <v>50</v>
      </c>
      <c r="C47" t="str">
        <f t="shared" si="0"/>
        <v>Otros empleados</v>
      </c>
      <c r="E47" s="20" t="s">
        <v>75</v>
      </c>
      <c r="F47" t="str">
        <f t="shared" si="1"/>
        <v>Ubicación de infraestructuras sensibles a desastres naturales</v>
      </c>
      <c r="I47" s="20" t="s">
        <v>184</v>
      </c>
      <c r="J47" t="str">
        <f t="shared" si="3"/>
        <v>Uso no intencionado de código no probado o prohibido</v>
      </c>
    </row>
    <row r="48" spans="1:10" x14ac:dyDescent="0.45">
      <c r="A48" s="22" t="s">
        <v>48</v>
      </c>
      <c r="B48" s="23" t="s">
        <v>51</v>
      </c>
      <c r="C48" t="str">
        <f t="shared" si="0"/>
        <v>Alta dirección</v>
      </c>
      <c r="E48" s="20" t="s">
        <v>76</v>
      </c>
      <c r="F48" t="str">
        <f t="shared" si="1"/>
        <v>Ubicación de la infraestructura sensible a fugas de agua</v>
      </c>
      <c r="I48" s="20" t="s">
        <v>185</v>
      </c>
      <c r="J48" t="str">
        <f t="shared" si="3"/>
        <v>Error no intencionado del usuario</v>
      </c>
    </row>
    <row r="49" spans="1:10" x14ac:dyDescent="0.45">
      <c r="A49" s="22" t="s">
        <v>48</v>
      </c>
      <c r="B49" s="23" t="s">
        <v>52</v>
      </c>
      <c r="C49" t="str">
        <f t="shared" si="0"/>
        <v>Empleados remotos</v>
      </c>
      <c r="E49" s="20" t="s">
        <v>90</v>
      </c>
      <c r="F49" t="str">
        <f t="shared" si="1"/>
        <v>Equipos móviles mal atendidos</v>
      </c>
      <c r="I49" s="20" t="s">
        <v>192</v>
      </c>
      <c r="J49" t="str">
        <f t="shared" si="3"/>
        <v>Uso de materiales licenciados con intención maliciosa</v>
      </c>
    </row>
    <row r="50" spans="1:10" x14ac:dyDescent="0.45">
      <c r="A50" s="22" t="s">
        <v>48</v>
      </c>
      <c r="B50" s="23" t="s">
        <v>53</v>
      </c>
      <c r="C50" t="str">
        <f t="shared" si="0"/>
        <v>Empleados con experiencia específica (por ejemplo, administradores de sistemas, diseñadores, desarrolladores de software, expertos en seguridad, etc.)</v>
      </c>
      <c r="E50" s="20" t="s">
        <v>101</v>
      </c>
      <c r="F50" t="str">
        <f t="shared" si="1"/>
        <v>Equipos móviles inadecuadamente protegidos físicamente</v>
      </c>
      <c r="I50" s="20" t="s">
        <v>193</v>
      </c>
      <c r="J50" t="str">
        <f t="shared" si="3"/>
        <v>Uso de código no autorizado o no probado con intención maliciosa</v>
      </c>
    </row>
    <row r="51" spans="1:10" x14ac:dyDescent="0.45">
      <c r="A51" s="22" t="s">
        <v>48</v>
      </c>
      <c r="B51" s="23" t="s">
        <v>54</v>
      </c>
      <c r="C51" t="str">
        <f t="shared" si="0"/>
        <v>Dirección intermedia</v>
      </c>
      <c r="E51" s="20" t="s">
        <v>99</v>
      </c>
      <c r="F51" t="str">
        <f t="shared" si="1"/>
        <v>Dispositivos de red están insuficientemente protegidos físicamente</v>
      </c>
      <c r="J51" s="32" cm="1">
        <f t="array" ref="J51">+MAX(LEN(J3:J50))</f>
        <v>89</v>
      </c>
    </row>
    <row r="52" spans="1:10" x14ac:dyDescent="0.45">
      <c r="A52" s="22" t="s">
        <v>55</v>
      </c>
      <c r="B52" s="23" t="s">
        <v>56</v>
      </c>
      <c r="C52" t="str">
        <f t="shared" si="0"/>
        <v>Suministro eléctrico (electricidad)</v>
      </c>
      <c r="E52" s="20" t="s">
        <v>112</v>
      </c>
      <c r="F52" t="str">
        <f t="shared" si="1"/>
        <v>No se permiten desactivaciones de cuentas de usuario tras el terminamiento del contrato</v>
      </c>
    </row>
    <row r="53" spans="1:10" x14ac:dyDescent="0.45">
      <c r="A53" s="22" t="s">
        <v>55</v>
      </c>
      <c r="B53" s="23" t="s">
        <v>57</v>
      </c>
      <c r="C53" t="str">
        <f t="shared" si="0"/>
        <v>Servicios de terceros utilizados a través de Internet (por ejemplo, SaaS)</v>
      </c>
      <c r="E53" s="20" t="s">
        <v>147</v>
      </c>
      <c r="F53" t="str">
        <f t="shared" si="1"/>
        <v>Dependencia excesiva de un proveedor o socio</v>
      </c>
    </row>
    <row r="54" spans="1:10" x14ac:dyDescent="0.45">
      <c r="A54" s="22" t="s">
        <v>55</v>
      </c>
      <c r="B54" s="23" t="s">
        <v>58</v>
      </c>
      <c r="C54" t="str">
        <f t="shared" si="0"/>
        <v>Personal externalizado (por ejemplo, autónomos o contratistas)</v>
      </c>
      <c r="E54" s="20" t="s">
        <v>97</v>
      </c>
      <c r="F54" t="str">
        <f t="shared" si="1"/>
        <v>Dependencia excesiva de un solo dispositivo</v>
      </c>
    </row>
    <row r="55" spans="1:10" x14ac:dyDescent="0.45">
      <c r="A55" s="22" t="s">
        <v>55</v>
      </c>
      <c r="B55" s="23" t="s">
        <v>59</v>
      </c>
      <c r="C55" t="str">
        <f t="shared" si="0"/>
        <v>Limpieza y mantenimiento de instalaciones</v>
      </c>
      <c r="E55" s="20" t="s">
        <v>77</v>
      </c>
      <c r="F55" t="str">
        <f t="shared" si="1"/>
        <v>Sobredependencia de una sola infraestructura</v>
      </c>
    </row>
    <row r="56" spans="1:10" x14ac:dyDescent="0.45">
      <c r="A56" s="22" t="s">
        <v>55</v>
      </c>
      <c r="B56" s="23" t="s">
        <v>60</v>
      </c>
      <c r="C56" t="str">
        <f t="shared" si="0"/>
        <v>Auditores, autoridades supervisoras</v>
      </c>
      <c r="E56" s="20" t="s">
        <v>123</v>
      </c>
      <c r="F56" t="str">
        <f t="shared" si="1"/>
        <v>Sobredependencia de un sistema</v>
      </c>
    </row>
    <row r="57" spans="1:10" x14ac:dyDescent="0.45">
      <c r="A57" s="22" t="s">
        <v>55</v>
      </c>
      <c r="B57" s="23" t="s">
        <v>61</v>
      </c>
      <c r="C57" t="str">
        <f t="shared" si="0"/>
        <v>Consultores</v>
      </c>
      <c r="E57" s="20" t="s">
        <v>128</v>
      </c>
      <c r="F57" t="str">
        <f t="shared" si="1"/>
        <v>Mala selección de datos de pruebas</v>
      </c>
    </row>
    <row r="58" spans="1:10" x14ac:dyDescent="0.45">
      <c r="A58" s="22" t="s">
        <v>55</v>
      </c>
      <c r="B58" s="23" t="s">
        <v>62</v>
      </c>
      <c r="C58" t="str">
        <f t="shared" si="0"/>
        <v>Servicios legales</v>
      </c>
      <c r="E58" s="20" t="s">
        <v>136</v>
      </c>
      <c r="F58" t="str">
        <f t="shared" si="1"/>
        <v>La persona de reemplazo no existe / es inadecuada</v>
      </c>
    </row>
    <row r="59" spans="1:10" x14ac:dyDescent="0.45">
      <c r="A59" s="22" t="s">
        <v>55</v>
      </c>
      <c r="B59" s="23" t="s">
        <v>63</v>
      </c>
      <c r="C59" t="str">
        <f t="shared" si="0"/>
        <v>Servicios de correo y mensajería</v>
      </c>
      <c r="E59" s="20" t="s">
        <v>121</v>
      </c>
      <c r="F59" t="str">
        <f t="shared" si="1"/>
        <v>Requisitos para el desarrollo de software no claramente definidos</v>
      </c>
    </row>
    <row r="60" spans="1:10" x14ac:dyDescent="0.45">
      <c r="A60" s="22" t="s">
        <v>55</v>
      </c>
      <c r="B60" s="23" t="s">
        <v>64</v>
      </c>
      <c r="C60" t="str">
        <f t="shared" si="0"/>
        <v>Mantenimiento de software y bases de datos</v>
      </c>
      <c r="E60" s="20" t="s">
        <v>95</v>
      </c>
      <c r="F60" t="str">
        <f t="shared" si="1"/>
        <v>Normas para equipos de TI / comunicaciones no claramente definidas</v>
      </c>
    </row>
    <row r="61" spans="1:10" x14ac:dyDescent="0.45">
      <c r="A61" s="22" t="s">
        <v>55</v>
      </c>
      <c r="B61" s="23" t="s">
        <v>65</v>
      </c>
      <c r="C61" t="str">
        <f t="shared" si="0"/>
        <v>Mantenimiento de equipos informáticos</v>
      </c>
      <c r="E61" s="20" t="s">
        <v>119</v>
      </c>
      <c r="F61" t="str">
        <f t="shared" si="1"/>
        <v>Reglas para software y sus bases de datos no claramente definidas</v>
      </c>
    </row>
    <row r="62" spans="1:10" x14ac:dyDescent="0.45">
      <c r="A62" s="24" t="s">
        <v>55</v>
      </c>
      <c r="B62" s="25" t="s">
        <v>66</v>
      </c>
      <c r="C62" t="str">
        <f t="shared" si="0"/>
        <v>Servicios de comunicación (voz, Internet, etc.)</v>
      </c>
      <c r="E62" s="20" t="s">
        <v>135</v>
      </c>
      <c r="F62" t="str">
        <f t="shared" si="1"/>
        <v>Reglas para trabajar fuera de las instalaciones no claramente definidas</v>
      </c>
    </row>
    <row r="63" spans="1:10" x14ac:dyDescent="0.45">
      <c r="E63" s="20" t="s">
        <v>127</v>
      </c>
      <c r="F63" t="str">
        <f t="shared" si="1"/>
        <v>Reglas sobre el control de documentos no claramente definidas</v>
      </c>
    </row>
    <row r="64" spans="1:10" x14ac:dyDescent="0.45">
      <c r="C64" s="32" cm="1">
        <f t="array" ref="C64">+MAX(LEN(C3:C62))</f>
        <v>150</v>
      </c>
      <c r="E64" s="20" t="s">
        <v>134</v>
      </c>
      <c r="F64" t="str">
        <f t="shared" si="1"/>
        <v>Normas sobre cómo manejar información no claramente definidas</v>
      </c>
    </row>
    <row r="65" spans="5:6" x14ac:dyDescent="0.45">
      <c r="E65" s="20" t="s">
        <v>146</v>
      </c>
      <c r="F65" t="str">
        <f t="shared" si="1"/>
        <v>Normas sobre cómo tratar a terceros no están claramente definidas</v>
      </c>
    </row>
    <row r="66" spans="5:6" x14ac:dyDescent="0.45">
      <c r="E66" s="20" t="s">
        <v>78</v>
      </c>
      <c r="F66" t="str">
        <f t="shared" si="1"/>
        <v>Normas relacionadas con infraestructuras no claramente definidas</v>
      </c>
    </row>
    <row r="67" spans="5:6" x14ac:dyDescent="0.45">
      <c r="E67" s="20" t="s">
        <v>93</v>
      </c>
      <c r="F67" t="str">
        <f t="shared" ref="F67:F89" si="4">_xlfn.TRANSLATE(E67,"en","es")</f>
        <v>Sensibilidad del equipo a la humedad y la contaminación</v>
      </c>
    </row>
    <row r="68" spans="5:6" x14ac:dyDescent="0.45">
      <c r="E68" s="20" t="s">
        <v>92</v>
      </c>
      <c r="F68" t="str">
        <f t="shared" si="4"/>
        <v>Sensibilidad del equipo a la temperatura</v>
      </c>
    </row>
    <row r="69" spans="5:6" x14ac:dyDescent="0.45">
      <c r="E69" s="20" t="s">
        <v>89</v>
      </c>
      <c r="F69" t="str">
        <f t="shared" si="4"/>
        <v>Sensibilidad del equipo al cambio de tensión</v>
      </c>
    </row>
    <row r="70" spans="5:6" x14ac:dyDescent="0.45">
      <c r="E70" s="20" t="s">
        <v>117</v>
      </c>
      <c r="F70" t="str">
        <f t="shared" si="4"/>
        <v>Las sesiones permanecen activas después del horario laboral</v>
      </c>
    </row>
    <row r="71" spans="5:6" x14ac:dyDescent="0.45">
      <c r="E71" s="20" t="s">
        <v>126</v>
      </c>
      <c r="F71" t="str">
        <f t="shared" si="4"/>
        <v>Copia única / solo una copia de la información disponible</v>
      </c>
    </row>
    <row r="72" spans="5:6" x14ac:dyDescent="0.45">
      <c r="E72" s="20" t="s">
        <v>115</v>
      </c>
      <c r="F72" t="str">
        <f t="shared" si="4"/>
        <v>Componentes de software no compatibles</v>
      </c>
    </row>
    <row r="73" spans="5:6" x14ac:dyDescent="0.45">
      <c r="E73" s="20" t="s">
        <v>114</v>
      </c>
      <c r="F73" t="str">
        <f t="shared" si="4"/>
        <v>Fallo de diseño de software</v>
      </c>
    </row>
    <row r="74" spans="5:6" x14ac:dyDescent="0.45">
      <c r="E74" s="20" t="s">
        <v>111</v>
      </c>
      <c r="F74" t="str">
        <f t="shared" si="4"/>
        <v>Error de configuración del software</v>
      </c>
    </row>
    <row r="75" spans="5:6" x14ac:dyDescent="0.45">
      <c r="E75" s="20" t="s">
        <v>104</v>
      </c>
      <c r="F75" t="str">
        <f t="shared" si="4"/>
        <v>Las contraseñas generadas por el sistema permanecen sin cambios</v>
      </c>
    </row>
    <row r="76" spans="5:6" x14ac:dyDescent="0.45">
      <c r="E76" s="20" t="s">
        <v>109</v>
      </c>
      <c r="F76" t="str">
        <f t="shared" si="4"/>
        <v>Sistemas no protegidos contra accesos no autorizados</v>
      </c>
    </row>
    <row r="77" spans="5:6" x14ac:dyDescent="0.45">
      <c r="E77" s="20" t="s">
        <v>87</v>
      </c>
      <c r="F77" t="str">
        <f t="shared" si="4"/>
        <v>El entorno de prueba y el entorno operativo no están separados</v>
      </c>
    </row>
    <row r="78" spans="5:6" x14ac:dyDescent="0.45">
      <c r="E78" s="20" t="s">
        <v>145</v>
      </c>
      <c r="F78" t="str">
        <f t="shared" si="4"/>
        <v>Un tercero no tiene un control de acceso adecuado</v>
      </c>
    </row>
    <row r="79" spans="5:6" x14ac:dyDescent="0.45">
      <c r="E79" s="20" t="s">
        <v>144</v>
      </c>
      <c r="F79" t="str">
        <f t="shared" si="4"/>
        <v>Cambio en la estrategia empresarial de terceros</v>
      </c>
    </row>
    <row r="80" spans="5:6" x14ac:dyDescent="0.45">
      <c r="E80" s="20" t="s">
        <v>142</v>
      </c>
      <c r="F80" t="str">
        <f t="shared" si="4"/>
        <v>Terceros no están suficientemente preparados para las interrupciones</v>
      </c>
    </row>
    <row r="81" spans="5:6" x14ac:dyDescent="0.45">
      <c r="E81" s="20" t="s">
        <v>125</v>
      </c>
      <c r="F81" t="str">
        <f t="shared" si="4"/>
        <v>Copia incontrolada de documentos y datos</v>
      </c>
    </row>
    <row r="82" spans="5:6" x14ac:dyDescent="0.45">
      <c r="E82" s="20" t="s">
        <v>107</v>
      </c>
      <c r="F82" t="str">
        <f t="shared" si="4"/>
        <v>Software no documentado</v>
      </c>
    </row>
    <row r="83" spans="5:6" x14ac:dyDescent="0.45">
      <c r="E83" s="20" t="s">
        <v>133</v>
      </c>
      <c r="F83" t="str">
        <f t="shared" si="4"/>
        <v>Empleados desmotivados o descontentos</v>
      </c>
    </row>
    <row r="84" spans="5:6" x14ac:dyDescent="0.45">
      <c r="E84" s="20" t="s">
        <v>79</v>
      </c>
      <c r="F84" t="str">
        <f t="shared" si="4"/>
        <v>Uso de infraestructuras, equipos e instalaciones antiguas</v>
      </c>
    </row>
    <row r="85" spans="5:6" x14ac:dyDescent="0.45">
      <c r="E85" s="20" t="s">
        <v>85</v>
      </c>
      <c r="F85" t="str">
        <f t="shared" si="4"/>
        <v>Uso de equipos antiguos de TI/comunicación</v>
      </c>
    </row>
    <row r="86" spans="5:6" x14ac:dyDescent="0.45">
      <c r="E86" s="20" t="s">
        <v>67</v>
      </c>
      <c r="F86" t="str">
        <f t="shared" si="4"/>
        <v>Vulnerabilidades</v>
      </c>
    </row>
    <row r="87" spans="5:6" x14ac:dyDescent="0.45">
      <c r="E87" s="20" t="s">
        <v>105</v>
      </c>
      <c r="F87" t="str">
        <f t="shared" si="4"/>
        <v>Contraseñas débiles</v>
      </c>
    </row>
    <row r="88" spans="5:6" x14ac:dyDescent="0.45">
      <c r="E88" s="20" t="s">
        <v>83</v>
      </c>
      <c r="F88" t="str">
        <f t="shared" si="4"/>
        <v>Configuración incorrecta del acceso a la red</v>
      </c>
    </row>
    <row r="89" spans="5:6" x14ac:dyDescent="0.45">
      <c r="E89" s="20" t="s">
        <v>124</v>
      </c>
      <c r="F89" t="str">
        <f t="shared" si="4"/>
        <v>Comprensión errónea sobre la sensibilidad de la información</v>
      </c>
    </row>
    <row r="90" spans="5:6" x14ac:dyDescent="0.45">
      <c r="E90" s="15"/>
      <c r="F90" s="32" cm="1">
        <f t="array" ref="F90">+MAX(LEN(F3:F88))</f>
        <v>87</v>
      </c>
    </row>
    <row r="91" spans="5:6" x14ac:dyDescent="0.45">
      <c r="E91" s="15"/>
    </row>
    <row r="92" spans="5:6" x14ac:dyDescent="0.45">
      <c r="E92" s="15"/>
    </row>
    <row r="93" spans="5:6" x14ac:dyDescent="0.45">
      <c r="E93" s="15"/>
    </row>
    <row r="94" spans="5:6" x14ac:dyDescent="0.45">
      <c r="E94" s="15"/>
    </row>
    <row r="95" spans="5:6" x14ac:dyDescent="0.45">
      <c r="E95" s="13"/>
    </row>
    <row r="96" spans="5:6" x14ac:dyDescent="0.45">
      <c r="E96" s="12"/>
    </row>
    <row r="97" spans="5:5" x14ac:dyDescent="0.45">
      <c r="E97" s="15"/>
    </row>
    <row r="98" spans="5:5" x14ac:dyDescent="0.45">
      <c r="E98" s="15"/>
    </row>
    <row r="99" spans="5:5" x14ac:dyDescent="0.45">
      <c r="E99" s="15"/>
    </row>
    <row r="100" spans="5:5" x14ac:dyDescent="0.45">
      <c r="E100" s="15"/>
    </row>
    <row r="101" spans="5:5" x14ac:dyDescent="0.45">
      <c r="E101" s="15"/>
    </row>
    <row r="102" spans="5:5" x14ac:dyDescent="0.45">
      <c r="E102" s="15"/>
    </row>
    <row r="103" spans="5:5" x14ac:dyDescent="0.45">
      <c r="E103" s="15"/>
    </row>
    <row r="104" spans="5:5" x14ac:dyDescent="0.45">
      <c r="E104" s="15"/>
    </row>
    <row r="105" spans="5:5" x14ac:dyDescent="0.45">
      <c r="E105" s="15"/>
    </row>
    <row r="106" spans="5:5" x14ac:dyDescent="0.45">
      <c r="E106" s="15"/>
    </row>
    <row r="107" spans="5:5" x14ac:dyDescent="0.45">
      <c r="E107" s="15"/>
    </row>
    <row r="108" spans="5:5" x14ac:dyDescent="0.45">
      <c r="E108" s="15"/>
    </row>
    <row r="109" spans="5:5" x14ac:dyDescent="0.45">
      <c r="E109" s="15"/>
    </row>
    <row r="110" spans="5:5" x14ac:dyDescent="0.45">
      <c r="E110" s="15"/>
    </row>
    <row r="111" spans="5:5" x14ac:dyDescent="0.45">
      <c r="E111" s="15"/>
    </row>
    <row r="112" spans="5:5" x14ac:dyDescent="0.45">
      <c r="E112" s="15"/>
    </row>
    <row r="113" spans="5:5" x14ac:dyDescent="0.45">
      <c r="E113" s="15"/>
    </row>
    <row r="114" spans="5:5" x14ac:dyDescent="0.45">
      <c r="E114" s="15"/>
    </row>
    <row r="115" spans="5:5" x14ac:dyDescent="0.45">
      <c r="E115" s="15"/>
    </row>
    <row r="116" spans="5:5" x14ac:dyDescent="0.45">
      <c r="E116" s="15"/>
    </row>
    <row r="117" spans="5:5" x14ac:dyDescent="0.45">
      <c r="E117" s="15"/>
    </row>
    <row r="118" spans="5:5" x14ac:dyDescent="0.45">
      <c r="E118" s="15"/>
    </row>
    <row r="119" spans="5:5" x14ac:dyDescent="0.45">
      <c r="E119" s="15"/>
    </row>
    <row r="120" spans="5:5" x14ac:dyDescent="0.45">
      <c r="E120" s="15"/>
    </row>
    <row r="121" spans="5:5" x14ac:dyDescent="0.45">
      <c r="E121" s="15"/>
    </row>
    <row r="122" spans="5:5" x14ac:dyDescent="0.45">
      <c r="E122" s="15"/>
    </row>
    <row r="123" spans="5:5" x14ac:dyDescent="0.45">
      <c r="E123" s="15"/>
    </row>
    <row r="124" spans="5:5" x14ac:dyDescent="0.45">
      <c r="E124" s="15"/>
    </row>
    <row r="125" spans="5:5" x14ac:dyDescent="0.45">
      <c r="E125" s="15"/>
    </row>
    <row r="126" spans="5:5" x14ac:dyDescent="0.45">
      <c r="E126" s="15"/>
    </row>
    <row r="127" spans="5:5" x14ac:dyDescent="0.45">
      <c r="E127" s="15"/>
    </row>
    <row r="128" spans="5:5" x14ac:dyDescent="0.45">
      <c r="E128" s="15"/>
    </row>
    <row r="129" spans="5:5" x14ac:dyDescent="0.45">
      <c r="E129" s="15"/>
    </row>
    <row r="130" spans="5:5" x14ac:dyDescent="0.45">
      <c r="E130" s="15"/>
    </row>
    <row r="131" spans="5:5" x14ac:dyDescent="0.45">
      <c r="E131" s="15"/>
    </row>
    <row r="132" spans="5:5" x14ac:dyDescent="0.45">
      <c r="E132" s="15"/>
    </row>
    <row r="133" spans="5:5" x14ac:dyDescent="0.45">
      <c r="E133" s="15"/>
    </row>
    <row r="134" spans="5:5" x14ac:dyDescent="0.45">
      <c r="E134" s="15"/>
    </row>
    <row r="135" spans="5:5" x14ac:dyDescent="0.45">
      <c r="E135" s="15"/>
    </row>
    <row r="136" spans="5:5" x14ac:dyDescent="0.45">
      <c r="E136" s="15"/>
    </row>
    <row r="137" spans="5:5" x14ac:dyDescent="0.45">
      <c r="E137" s="15"/>
    </row>
    <row r="138" spans="5:5" x14ac:dyDescent="0.45">
      <c r="E138" s="15"/>
    </row>
    <row r="139" spans="5:5" x14ac:dyDescent="0.45">
      <c r="E139" s="15"/>
    </row>
    <row r="140" spans="5:5" x14ac:dyDescent="0.45">
      <c r="E140" s="15"/>
    </row>
    <row r="141" spans="5:5" x14ac:dyDescent="0.45">
      <c r="E141" s="13"/>
    </row>
    <row r="142" spans="5:5" x14ac:dyDescent="0.45">
      <c r="E142" s="12"/>
    </row>
    <row r="143" spans="5:5" x14ac:dyDescent="0.45">
      <c r="E143" s="15"/>
    </row>
    <row r="144" spans="5:5" x14ac:dyDescent="0.45">
      <c r="E144" s="15"/>
    </row>
    <row r="145" spans="5:5" x14ac:dyDescent="0.45">
      <c r="E145" s="15"/>
    </row>
    <row r="146" spans="5:5" x14ac:dyDescent="0.45">
      <c r="E146" s="15"/>
    </row>
    <row r="147" spans="5:5" x14ac:dyDescent="0.45">
      <c r="E147" s="15"/>
    </row>
    <row r="148" spans="5:5" x14ac:dyDescent="0.45">
      <c r="E148" s="15"/>
    </row>
    <row r="149" spans="5:5" x14ac:dyDescent="0.45">
      <c r="E149" s="15"/>
    </row>
    <row r="150" spans="5:5" x14ac:dyDescent="0.45">
      <c r="E150" s="15"/>
    </row>
    <row r="151" spans="5:5" x14ac:dyDescent="0.45">
      <c r="E151" s="15"/>
    </row>
    <row r="152" spans="5:5" x14ac:dyDescent="0.45">
      <c r="E152" s="13"/>
    </row>
    <row r="153" spans="5:5" x14ac:dyDescent="0.45">
      <c r="E153" s="12"/>
    </row>
    <row r="154" spans="5:5" x14ac:dyDescent="0.45">
      <c r="E154" s="15"/>
    </row>
    <row r="155" spans="5:5" x14ac:dyDescent="0.45">
      <c r="E155" s="15"/>
    </row>
    <row r="156" spans="5:5" x14ac:dyDescent="0.45">
      <c r="E156" s="15"/>
    </row>
    <row r="157" spans="5:5" x14ac:dyDescent="0.45">
      <c r="E157" s="15"/>
    </row>
    <row r="158" spans="5:5" x14ac:dyDescent="0.45">
      <c r="E158" s="15"/>
    </row>
    <row r="159" spans="5:5" x14ac:dyDescent="0.45">
      <c r="E159" s="15"/>
    </row>
    <row r="160" spans="5:5" x14ac:dyDescent="0.45">
      <c r="E160" s="15"/>
    </row>
    <row r="161" spans="5:5" x14ac:dyDescent="0.45">
      <c r="E161" s="15"/>
    </row>
    <row r="162" spans="5:5" x14ac:dyDescent="0.45">
      <c r="E162" s="13"/>
    </row>
    <row r="163" spans="5:5" x14ac:dyDescent="0.45">
      <c r="E163" s="12"/>
    </row>
    <row r="164" spans="5:5" x14ac:dyDescent="0.45">
      <c r="E164" s="15"/>
    </row>
    <row r="165" spans="5:5" x14ac:dyDescent="0.45">
      <c r="E165" s="15"/>
    </row>
    <row r="166" spans="5:5" x14ac:dyDescent="0.45">
      <c r="E166" s="15"/>
    </row>
    <row r="167" spans="5:5" x14ac:dyDescent="0.45">
      <c r="E167" s="15"/>
    </row>
    <row r="168" spans="5:5" x14ac:dyDescent="0.45">
      <c r="E168" s="15"/>
    </row>
    <row r="169" spans="5:5" x14ac:dyDescent="0.45">
      <c r="E169" s="15"/>
    </row>
    <row r="170" spans="5:5" x14ac:dyDescent="0.45">
      <c r="E170" s="15"/>
    </row>
    <row r="171" spans="5:5" x14ac:dyDescent="0.45">
      <c r="E171" s="15"/>
    </row>
    <row r="172" spans="5:5" x14ac:dyDescent="0.45">
      <c r="E172" s="15"/>
    </row>
    <row r="173" spans="5:5" x14ac:dyDescent="0.45">
      <c r="E173" s="15"/>
    </row>
    <row r="174" spans="5:5" x14ac:dyDescent="0.45">
      <c r="E174" s="15"/>
    </row>
    <row r="175" spans="5:5" x14ac:dyDescent="0.45">
      <c r="E175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C1E5-C500-451A-9F32-373F52AC8340}">
  <dimension ref="A3:A52"/>
  <sheetViews>
    <sheetView topLeftCell="A25" workbookViewId="0">
      <selection activeCell="A4" sqref="A4:A51"/>
    </sheetView>
  </sheetViews>
  <sheetFormatPr baseColWidth="10" defaultRowHeight="14.25" x14ac:dyDescent="0.45"/>
  <cols>
    <col min="1" max="1" width="59.796875" bestFit="1" customWidth="1"/>
  </cols>
  <sheetData>
    <row r="3" spans="1:1" x14ac:dyDescent="0.45">
      <c r="A3" s="19" t="s">
        <v>208</v>
      </c>
    </row>
    <row r="4" spans="1:1" x14ac:dyDescent="0.45">
      <c r="A4" s="20" t="s">
        <v>190</v>
      </c>
    </row>
    <row r="5" spans="1:1" x14ac:dyDescent="0.45">
      <c r="A5" s="20" t="s">
        <v>197</v>
      </c>
    </row>
    <row r="6" spans="1:1" x14ac:dyDescent="0.45">
      <c r="A6" s="20" t="s">
        <v>204</v>
      </c>
    </row>
    <row r="7" spans="1:1" x14ac:dyDescent="0.45">
      <c r="A7" s="20" t="s">
        <v>177</v>
      </c>
    </row>
    <row r="8" spans="1:1" x14ac:dyDescent="0.45">
      <c r="A8" s="20" t="s">
        <v>178</v>
      </c>
    </row>
    <row r="9" spans="1:1" x14ac:dyDescent="0.45">
      <c r="A9" s="20" t="s">
        <v>174</v>
      </c>
    </row>
    <row r="10" spans="1:1" x14ac:dyDescent="0.45">
      <c r="A10" s="20" t="s">
        <v>170</v>
      </c>
    </row>
    <row r="11" spans="1:1" x14ac:dyDescent="0.45">
      <c r="A11" s="20" t="s">
        <v>201</v>
      </c>
    </row>
    <row r="12" spans="1:1" x14ac:dyDescent="0.45">
      <c r="A12" s="20" t="s">
        <v>173</v>
      </c>
    </row>
    <row r="13" spans="1:1" x14ac:dyDescent="0.45">
      <c r="A13" s="20" t="s">
        <v>165</v>
      </c>
    </row>
    <row r="14" spans="1:1" x14ac:dyDescent="0.45">
      <c r="A14" s="20" t="s">
        <v>171</v>
      </c>
    </row>
    <row r="15" spans="1:1" x14ac:dyDescent="0.45">
      <c r="A15" s="20" t="s">
        <v>175</v>
      </c>
    </row>
    <row r="16" spans="1:1" x14ac:dyDescent="0.45">
      <c r="A16" s="20" t="s">
        <v>172</v>
      </c>
    </row>
    <row r="17" spans="1:1" x14ac:dyDescent="0.45">
      <c r="A17" s="20" t="s">
        <v>203</v>
      </c>
    </row>
    <row r="18" spans="1:1" x14ac:dyDescent="0.45">
      <c r="A18" s="20" t="s">
        <v>161</v>
      </c>
    </row>
    <row r="19" spans="1:1" x14ac:dyDescent="0.45">
      <c r="A19" s="20" t="s">
        <v>162</v>
      </c>
    </row>
    <row r="20" spans="1:1" x14ac:dyDescent="0.45">
      <c r="A20" s="20" t="s">
        <v>179</v>
      </c>
    </row>
    <row r="21" spans="1:1" x14ac:dyDescent="0.45">
      <c r="A21" s="20" t="s">
        <v>195</v>
      </c>
    </row>
    <row r="22" spans="1:1" x14ac:dyDescent="0.45">
      <c r="A22" s="20" t="s">
        <v>167</v>
      </c>
    </row>
    <row r="23" spans="1:1" x14ac:dyDescent="0.45">
      <c r="A23" s="20" t="s">
        <v>199</v>
      </c>
    </row>
    <row r="24" spans="1:1" x14ac:dyDescent="0.45">
      <c r="A24" s="20" t="s">
        <v>188</v>
      </c>
    </row>
    <row r="25" spans="1:1" x14ac:dyDescent="0.45">
      <c r="A25" s="20" t="s">
        <v>191</v>
      </c>
    </row>
    <row r="26" spans="1:1" x14ac:dyDescent="0.45">
      <c r="A26" s="20" t="s">
        <v>168</v>
      </c>
    </row>
    <row r="27" spans="1:1" x14ac:dyDescent="0.45">
      <c r="A27" s="20" t="s">
        <v>164</v>
      </c>
    </row>
    <row r="28" spans="1:1" x14ac:dyDescent="0.45">
      <c r="A28" s="20" t="s">
        <v>176</v>
      </c>
    </row>
    <row r="29" spans="1:1" x14ac:dyDescent="0.45">
      <c r="A29" s="20" t="s">
        <v>196</v>
      </c>
    </row>
    <row r="30" spans="1:1" x14ac:dyDescent="0.45">
      <c r="A30" s="20" t="s">
        <v>202</v>
      </c>
    </row>
    <row r="31" spans="1:1" x14ac:dyDescent="0.45">
      <c r="A31" s="20" t="s">
        <v>194</v>
      </c>
    </row>
    <row r="32" spans="1:1" x14ac:dyDescent="0.45">
      <c r="A32" s="20" t="s">
        <v>157</v>
      </c>
    </row>
    <row r="33" spans="1:1" x14ac:dyDescent="0.45">
      <c r="A33" s="20" t="s">
        <v>189</v>
      </c>
    </row>
    <row r="34" spans="1:1" x14ac:dyDescent="0.45">
      <c r="A34" s="20" t="s">
        <v>163</v>
      </c>
    </row>
    <row r="35" spans="1:1" x14ac:dyDescent="0.45">
      <c r="A35" s="20" t="s">
        <v>166</v>
      </c>
    </row>
    <row r="36" spans="1:1" x14ac:dyDescent="0.45">
      <c r="A36" s="20" t="s">
        <v>160</v>
      </c>
    </row>
    <row r="37" spans="1:1" x14ac:dyDescent="0.45">
      <c r="A37" s="20" t="s">
        <v>159</v>
      </c>
    </row>
    <row r="38" spans="1:1" x14ac:dyDescent="0.45">
      <c r="A38" s="20" t="s">
        <v>169</v>
      </c>
    </row>
    <row r="39" spans="1:1" x14ac:dyDescent="0.45">
      <c r="A39" s="20" t="s">
        <v>158</v>
      </c>
    </row>
    <row r="40" spans="1:1" x14ac:dyDescent="0.45">
      <c r="A40" s="20" t="s">
        <v>187</v>
      </c>
    </row>
    <row r="41" spans="1:1" x14ac:dyDescent="0.45">
      <c r="A41" s="20" t="s">
        <v>181</v>
      </c>
    </row>
    <row r="42" spans="1:1" x14ac:dyDescent="0.45">
      <c r="A42" s="20" t="s">
        <v>200</v>
      </c>
    </row>
    <row r="43" spans="1:1" x14ac:dyDescent="0.45">
      <c r="A43" s="20" t="s">
        <v>180</v>
      </c>
    </row>
    <row r="44" spans="1:1" x14ac:dyDescent="0.45">
      <c r="A44" s="20" t="s">
        <v>186</v>
      </c>
    </row>
    <row r="45" spans="1:1" x14ac:dyDescent="0.45">
      <c r="A45" s="20" t="s">
        <v>198</v>
      </c>
    </row>
    <row r="46" spans="1:1" x14ac:dyDescent="0.45">
      <c r="A46" s="20" t="s">
        <v>182</v>
      </c>
    </row>
    <row r="47" spans="1:1" x14ac:dyDescent="0.45">
      <c r="A47" s="20" t="s">
        <v>183</v>
      </c>
    </row>
    <row r="48" spans="1:1" x14ac:dyDescent="0.45">
      <c r="A48" s="20" t="s">
        <v>184</v>
      </c>
    </row>
    <row r="49" spans="1:1" x14ac:dyDescent="0.45">
      <c r="A49" s="20" t="s">
        <v>185</v>
      </c>
    </row>
    <row r="50" spans="1:1" x14ac:dyDescent="0.45">
      <c r="A50" s="20" t="s">
        <v>192</v>
      </c>
    </row>
    <row r="51" spans="1:1" x14ac:dyDescent="0.45">
      <c r="A51" s="20" t="s">
        <v>193</v>
      </c>
    </row>
    <row r="52" spans="1:1" x14ac:dyDescent="0.45">
      <c r="A52" s="20" t="s">
        <v>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BA822-688E-4ADC-A327-35655F7BEBF0}">
  <dimension ref="B2:L151"/>
  <sheetViews>
    <sheetView tabSelected="1" topLeftCell="E1" workbookViewId="0">
      <selection activeCell="K10" sqref="K10"/>
    </sheetView>
  </sheetViews>
  <sheetFormatPr baseColWidth="10" defaultRowHeight="14.25" x14ac:dyDescent="0.45"/>
  <cols>
    <col min="2" max="2" width="64.796875" customWidth="1"/>
    <col min="3" max="3" width="18.46484375" style="16" customWidth="1"/>
    <col min="4" max="4" width="35.3984375" style="16" bestFit="1" customWidth="1"/>
    <col min="5" max="5" width="40.53125" style="16" bestFit="1" customWidth="1"/>
    <col min="6" max="7" width="9.06640625" style="16" customWidth="1"/>
    <col min="8" max="8" width="10.6640625" style="11"/>
    <col min="9" max="9" width="9.06640625" style="16" customWidth="1"/>
    <col min="10" max="10" width="10.6640625" style="11"/>
    <col min="11" max="11" width="9.06640625" style="16" customWidth="1"/>
  </cols>
  <sheetData>
    <row r="2" spans="2:12" ht="14.65" thickBot="1" x14ac:dyDescent="0.5"/>
    <row r="3" spans="2:12" ht="14.65" thickBot="1" x14ac:dyDescent="0.5">
      <c r="B3" s="10" t="s">
        <v>155</v>
      </c>
    </row>
    <row r="4" spans="2:12" x14ac:dyDescent="0.45">
      <c r="B4" s="1" t="s">
        <v>19</v>
      </c>
    </row>
    <row r="5" spans="2:12" x14ac:dyDescent="0.45">
      <c r="B5" s="5" t="s">
        <v>67</v>
      </c>
    </row>
    <row r="6" spans="2:12" x14ac:dyDescent="0.45">
      <c r="B6" s="1" t="s">
        <v>156</v>
      </c>
      <c r="C6" s="17" t="s">
        <v>19</v>
      </c>
      <c r="D6" s="18" t="s">
        <v>67</v>
      </c>
      <c r="E6" s="17" t="s">
        <v>156</v>
      </c>
      <c r="F6" s="17" t="s">
        <v>415</v>
      </c>
      <c r="G6" s="17" t="s">
        <v>413</v>
      </c>
      <c r="H6" s="17" t="s">
        <v>416</v>
      </c>
      <c r="I6" s="17" t="s">
        <v>417</v>
      </c>
      <c r="J6" s="18" t="s">
        <v>67</v>
      </c>
      <c r="K6" s="17" t="s">
        <v>414</v>
      </c>
      <c r="L6" s="17" t="s">
        <v>213</v>
      </c>
    </row>
    <row r="7" spans="2:12" x14ac:dyDescent="0.45">
      <c r="B7" s="6" t="s">
        <v>1</v>
      </c>
      <c r="C7" s="14" t="s">
        <v>1</v>
      </c>
      <c r="D7" s="14" t="s">
        <v>70</v>
      </c>
      <c r="E7" s="15" t="s">
        <v>157</v>
      </c>
      <c r="F7" s="15">
        <v>1</v>
      </c>
      <c r="G7" s="15">
        <f>+VLOOKUP(H7,Exportados!$H:$I,2,0)</f>
        <v>2</v>
      </c>
      <c r="H7" t="str">
        <f>_xlfn.TRANSLATE(C7,"en","es")</f>
        <v>Oficinas / instalaciones</v>
      </c>
      <c r="I7" s="15">
        <f>+VLOOKUP(J7,Exportados!$A:$B,2,0)</f>
        <v>36</v>
      </c>
      <c r="J7" t="str">
        <f>_xlfn.TRANSLATE(D7,"en","es")</f>
        <v>Falta de controles de acceso a instalaciones, habitaciones u oficinas</v>
      </c>
      <c r="K7" s="15">
        <f>+VLOOKUP(L7,Exportados!$D:$E,2,0)</f>
        <v>29</v>
      </c>
      <c r="L7" t="str">
        <f>_xlfn.TRANSLATE(E7,"en","es")</f>
        <v>Manipulación o destrucción de equipos</v>
      </c>
    </row>
    <row r="8" spans="2:12" x14ac:dyDescent="0.45">
      <c r="B8" s="6" t="s">
        <v>70</v>
      </c>
      <c r="C8" s="14" t="s">
        <v>1</v>
      </c>
      <c r="D8" s="14" t="s">
        <v>70</v>
      </c>
      <c r="E8" s="15" t="s">
        <v>158</v>
      </c>
      <c r="F8" s="15"/>
      <c r="G8" s="15">
        <f>+VLOOKUP(H8,Exportados!$H:$I,2,0)</f>
        <v>2</v>
      </c>
      <c r="H8" t="str">
        <f>_xlfn.TRANSLATE(C8,"en","es")</f>
        <v>Oficinas / instalaciones</v>
      </c>
      <c r="I8" s="15">
        <f>+VLOOKUP(J8,Exportados!$A:$B,2,0)</f>
        <v>36</v>
      </c>
      <c r="J8" t="str">
        <f>_xlfn.TRANSLATE(D8,"en","es")</f>
        <v>Falta de controles de acceso a instalaciones, habitaciones u oficinas</v>
      </c>
      <c r="K8" s="15">
        <f>+VLOOKUP(L8,Exportados!$D:$E,2,0)</f>
        <v>36</v>
      </c>
      <c r="L8" t="str">
        <f>_xlfn.TRANSLATE(E8,"en","es")</f>
        <v>Entrada no autorizada en instalaciones, habitaciones u oficinas</v>
      </c>
    </row>
    <row r="9" spans="2:12" x14ac:dyDescent="0.45">
      <c r="B9" s="2" t="s">
        <v>157</v>
      </c>
      <c r="C9" s="14" t="s">
        <v>1</v>
      </c>
      <c r="D9" s="14" t="s">
        <v>70</v>
      </c>
      <c r="E9" s="15" t="s">
        <v>159</v>
      </c>
      <c r="F9" s="15"/>
      <c r="G9" s="15">
        <f>+VLOOKUP(H9,Exportados!$H:$I,2,0)</f>
        <v>2</v>
      </c>
      <c r="H9" t="str">
        <f>_xlfn.TRANSLATE(C9,"en","es")</f>
        <v>Oficinas / instalaciones</v>
      </c>
      <c r="I9" s="15">
        <f>+VLOOKUP(J9,Exportados!$A:$B,2,0)</f>
        <v>36</v>
      </c>
      <c r="J9" t="str">
        <f>_xlfn.TRANSLATE(D9,"en","es")</f>
        <v>Falta de controles de acceso a instalaciones, habitaciones u oficinas</v>
      </c>
      <c r="K9" s="15">
        <f>+VLOOKUP(L9,Exportados!$D:$E,2,0)</f>
        <v>34</v>
      </c>
      <c r="L9" t="str">
        <f>_xlfn.TRANSLATE(E9,"en","es")</f>
        <v>Robo, vandalismo o sabotaje</v>
      </c>
    </row>
    <row r="10" spans="2:12" x14ac:dyDescent="0.45">
      <c r="B10" s="2" t="s">
        <v>158</v>
      </c>
      <c r="C10" s="14" t="s">
        <v>1</v>
      </c>
      <c r="D10" s="14" t="s">
        <v>70</v>
      </c>
      <c r="E10" s="15" t="s">
        <v>160</v>
      </c>
      <c r="F10" s="15"/>
      <c r="G10" s="15">
        <f>+VLOOKUP(H10,Exportados!$H:$I,2,0)</f>
        <v>2</v>
      </c>
      <c r="H10" t="str">
        <f>_xlfn.TRANSLATE(C10,"en","es")</f>
        <v>Oficinas / instalaciones</v>
      </c>
      <c r="I10" s="15">
        <f>+VLOOKUP(J10,Exportados!$A:$B,2,0)</f>
        <v>36</v>
      </c>
      <c r="J10" t="str">
        <f>_xlfn.TRANSLATE(D10,"en","es")</f>
        <v>Falta de controles de acceso a instalaciones, habitaciones u oficinas</v>
      </c>
      <c r="K10" s="15">
        <f>+VLOOKUP(L10,Exportados!$D:$E,2,0)</f>
        <v>33</v>
      </c>
      <c r="L10" t="str">
        <f>_xlfn.TRANSLATE(E10,"en","es")</f>
        <v>Atentado terrorista (bomba, tiroteo, etc.)</v>
      </c>
    </row>
    <row r="11" spans="2:12" x14ac:dyDescent="0.45">
      <c r="B11" s="2" t="s">
        <v>159</v>
      </c>
      <c r="C11" s="14" t="s">
        <v>5</v>
      </c>
      <c r="D11" s="14" t="s">
        <v>74</v>
      </c>
      <c r="E11" s="15" t="s">
        <v>161</v>
      </c>
      <c r="F11" s="15"/>
      <c r="G11" s="15">
        <f>+VLOOKUP(H11,Exportados!$H:$I,2,0)</f>
        <v>6</v>
      </c>
      <c r="H11" t="str">
        <f>_xlfn.TRANSLATE(C11,"en","es")</f>
        <v>Sala de servidores o centro de datos</v>
      </c>
      <c r="I11" s="15">
        <f>+VLOOKUP(J11,Exportados!$A:$B,2,0)</f>
        <v>33</v>
      </c>
      <c r="J11" t="str">
        <f>_xlfn.TRANSLATE(D11,"en","es")</f>
        <v>Falta de / mala auditoría interna de la infraestructura</v>
      </c>
      <c r="K11" s="15">
        <f>+VLOOKUP(L11,Exportados!$D:$E,2,0)</f>
        <v>15</v>
      </c>
      <c r="L11" t="str">
        <f>_xlfn.TRANSLATE(E11,"en","es")</f>
        <v>Incendio</v>
      </c>
    </row>
    <row r="12" spans="2:12" x14ac:dyDescent="0.45">
      <c r="B12" s="2" t="s">
        <v>160</v>
      </c>
      <c r="C12" s="14" t="s">
        <v>5</v>
      </c>
      <c r="D12" s="14" t="s">
        <v>74</v>
      </c>
      <c r="E12" s="15" t="s">
        <v>162</v>
      </c>
      <c r="F12" s="15"/>
      <c r="G12" s="15">
        <f>+VLOOKUP(H12,Exportados!$H:$I,2,0)</f>
        <v>6</v>
      </c>
      <c r="H12" t="str">
        <f>_xlfn.TRANSLATE(C12,"en","es")</f>
        <v>Sala de servidores o centro de datos</v>
      </c>
      <c r="I12" s="15">
        <f>+VLOOKUP(J12,Exportados!$A:$B,2,0)</f>
        <v>33</v>
      </c>
      <c r="J12" t="str">
        <f>_xlfn.TRANSLATE(D12,"en","es")</f>
        <v>Falta de / mala auditoría interna de la infraestructura</v>
      </c>
      <c r="K12" s="15">
        <f>+VLOOKUP(L12,Exportados!$D:$E,2,0)</f>
        <v>16</v>
      </c>
      <c r="L12" t="str">
        <f>_xlfn.TRANSLATE(E12,"en","es")</f>
        <v>Inundación</v>
      </c>
    </row>
    <row r="13" spans="2:12" x14ac:dyDescent="0.45">
      <c r="B13" s="6" t="s">
        <v>5</v>
      </c>
      <c r="C13" s="14" t="s">
        <v>5</v>
      </c>
      <c r="D13" s="14" t="s">
        <v>74</v>
      </c>
      <c r="E13" s="15" t="s">
        <v>163</v>
      </c>
      <c r="F13" s="15"/>
      <c r="G13" s="15">
        <f>+VLOOKUP(H13,Exportados!$H:$I,2,0)</f>
        <v>6</v>
      </c>
      <c r="H13" t="str">
        <f>_xlfn.TRANSLATE(C13,"en","es")</f>
        <v>Sala de servidores o centro de datos</v>
      </c>
      <c r="I13" s="15">
        <f>+VLOOKUP(J13,Exportados!$A:$B,2,0)</f>
        <v>33</v>
      </c>
      <c r="J13" t="str">
        <f>_xlfn.TRANSLATE(D13,"en","es")</f>
        <v>Falta de / mala auditoría interna de la infraestructura</v>
      </c>
      <c r="K13" s="15">
        <f>+VLOOKUP(L13,Exportados!$D:$E,2,0)</f>
        <v>31</v>
      </c>
      <c r="L13" t="str">
        <f>_xlfn.TRANSLATE(E13,"en","es")</f>
        <v>Otros desastres (naturales)</v>
      </c>
    </row>
    <row r="14" spans="2:12" x14ac:dyDescent="0.45">
      <c r="B14" s="6" t="s">
        <v>74</v>
      </c>
      <c r="C14" s="14" t="s">
        <v>5</v>
      </c>
      <c r="D14" s="14" t="s">
        <v>74</v>
      </c>
      <c r="E14" s="15" t="s">
        <v>164</v>
      </c>
      <c r="F14" s="15"/>
      <c r="G14" s="15">
        <f>+VLOOKUP(H14,Exportados!$H:$I,2,0)</f>
        <v>6</v>
      </c>
      <c r="H14" t="str">
        <f>_xlfn.TRANSLATE(C14,"en","es")</f>
        <v>Sala de servidores o centro de datos</v>
      </c>
      <c r="I14" s="15">
        <f>+VLOOKUP(J14,Exportados!$A:$B,2,0)</f>
        <v>33</v>
      </c>
      <c r="J14" t="str">
        <f>_xlfn.TRANSLATE(D14,"en","es")</f>
        <v>Falta de / mala auditoría interna de la infraestructura</v>
      </c>
      <c r="K14" s="15">
        <f>+VLOOKUP(L14,Exportados!$D:$E,2,0)</f>
        <v>24</v>
      </c>
      <c r="L14" t="str">
        <f>_xlfn.TRANSLATE(E14,"en","es")</f>
        <v>Rayo</v>
      </c>
    </row>
    <row r="15" spans="2:12" x14ac:dyDescent="0.45">
      <c r="B15" s="2" t="s">
        <v>161</v>
      </c>
      <c r="C15" s="14" t="s">
        <v>5</v>
      </c>
      <c r="D15" s="14" t="s">
        <v>74</v>
      </c>
      <c r="E15" s="15" t="s">
        <v>165</v>
      </c>
      <c r="F15" s="15"/>
      <c r="G15" s="15">
        <f>+VLOOKUP(H15,Exportados!$H:$I,2,0)</f>
        <v>6</v>
      </c>
      <c r="H15" t="str">
        <f>_xlfn.TRANSLATE(C15,"en","es")</f>
        <v>Sala de servidores o centro de datos</v>
      </c>
      <c r="I15" s="15">
        <f>+VLOOKUP(J15,Exportados!$A:$B,2,0)</f>
        <v>33</v>
      </c>
      <c r="J15" t="str">
        <f>_xlfn.TRANSLATE(D15,"en","es")</f>
        <v>Falta de / mala auditoría interna de la infraestructura</v>
      </c>
      <c r="K15" s="15">
        <f>+VLOOKUP(L15,Exportados!$D:$E,2,0)</f>
        <v>10</v>
      </c>
      <c r="L15" t="str">
        <f>_xlfn.TRANSLATE(E15,"en","es")</f>
        <v>Terremoto</v>
      </c>
    </row>
    <row r="16" spans="2:12" x14ac:dyDescent="0.45">
      <c r="B16" s="2" t="s">
        <v>162</v>
      </c>
      <c r="C16" s="14" t="s">
        <v>5</v>
      </c>
      <c r="D16" s="14" t="s">
        <v>74</v>
      </c>
      <c r="E16" s="15" t="s">
        <v>166</v>
      </c>
      <c r="F16" s="15"/>
      <c r="G16" s="15">
        <f>+VLOOKUP(H16,Exportados!$H:$I,2,0)</f>
        <v>6</v>
      </c>
      <c r="H16" t="str">
        <f>_xlfn.TRANSLATE(C16,"en","es")</f>
        <v>Sala de servidores o centro de datos</v>
      </c>
      <c r="I16" s="15">
        <f>+VLOOKUP(J16,Exportados!$A:$B,2,0)</f>
        <v>33</v>
      </c>
      <c r="J16" t="str">
        <f>_xlfn.TRANSLATE(D16,"en","es")</f>
        <v>Falta de / mala auditoría interna de la infraestructura</v>
      </c>
      <c r="K16" s="15">
        <f>+VLOOKUP(L16,Exportados!$D:$E,2,0)</f>
        <v>32</v>
      </c>
      <c r="L16" t="str">
        <f>_xlfn.TRANSLATE(E16,"en","es")</f>
        <v>Tormenta</v>
      </c>
    </row>
    <row r="17" spans="2:12" x14ac:dyDescent="0.45">
      <c r="B17" s="2" t="s">
        <v>163</v>
      </c>
      <c r="C17" s="14" t="s">
        <v>5</v>
      </c>
      <c r="D17" s="14" t="s">
        <v>74</v>
      </c>
      <c r="E17" s="15" t="s">
        <v>167</v>
      </c>
      <c r="F17" s="15"/>
      <c r="G17" s="15">
        <f>+VLOOKUP(H17,Exportados!$H:$I,2,0)</f>
        <v>6</v>
      </c>
      <c r="H17" t="str">
        <f>_xlfn.TRANSLATE(C17,"en","es")</f>
        <v>Sala de servidores o centro de datos</v>
      </c>
      <c r="I17" s="15">
        <f>+VLOOKUP(J17,Exportados!$A:$B,2,0)</f>
        <v>33</v>
      </c>
      <c r="J17" t="str">
        <f>_xlfn.TRANSLATE(D17,"en","es")</f>
        <v>Falta de / mala auditoría interna de la infraestructura</v>
      </c>
      <c r="K17" s="15">
        <f>+VLOOKUP(L17,Exportados!$D:$E,2,0)</f>
        <v>19</v>
      </c>
      <c r="L17" t="str">
        <f>_xlfn.TRANSLATE(E17,"en","es")</f>
        <v>Accidente industrial</v>
      </c>
    </row>
    <row r="18" spans="2:12" x14ac:dyDescent="0.45">
      <c r="B18" s="2" t="s">
        <v>164</v>
      </c>
      <c r="C18" s="14" t="s">
        <v>5</v>
      </c>
      <c r="D18" s="14" t="s">
        <v>74</v>
      </c>
      <c r="E18" s="15" t="s">
        <v>168</v>
      </c>
      <c r="F18" s="15"/>
      <c r="G18" s="15">
        <f>+VLOOKUP(H18,Exportados!$H:$I,2,0)</f>
        <v>6</v>
      </c>
      <c r="H18" t="str">
        <f>_xlfn.TRANSLATE(C18,"en","es")</f>
        <v>Sala de servidores o centro de datos</v>
      </c>
      <c r="I18" s="15">
        <f>+VLOOKUP(J18,Exportados!$A:$B,2,0)</f>
        <v>33</v>
      </c>
      <c r="J18" t="str">
        <f>_xlfn.TRANSLATE(D18,"en","es")</f>
        <v>Falta de / mala auditoría interna de la infraestructura</v>
      </c>
      <c r="K18" s="15">
        <f>+VLOOKUP(L18,Exportados!$D:$E,2,0)</f>
        <v>23</v>
      </c>
      <c r="L18" t="str">
        <f>_xlfn.TRANSLATE(E18,"en","es")</f>
        <v>Interrupción de los servicios de comunicación</v>
      </c>
    </row>
    <row r="19" spans="2:12" x14ac:dyDescent="0.45">
      <c r="B19" s="2" t="s">
        <v>165</v>
      </c>
      <c r="C19" s="14" t="s">
        <v>20</v>
      </c>
      <c r="D19" s="14" t="s">
        <v>101</v>
      </c>
      <c r="E19" s="15" t="s">
        <v>157</v>
      </c>
      <c r="F19" s="15"/>
      <c r="G19" s="15">
        <f>+VLOOKUP(H19,Exportados!$H:$I,2,0)</f>
        <v>19</v>
      </c>
      <c r="H19" t="str">
        <f>_xlfn.TRANSLATE(C19,"en","es")</f>
        <v>Ordenadores de sobremesa</v>
      </c>
      <c r="I19" s="15">
        <f>+VLOOKUP(J19,Exportados!$A:$B,2,0)</f>
        <v>48</v>
      </c>
      <c r="J19" t="str">
        <f>_xlfn.TRANSLATE(D19,"en","es")</f>
        <v>Equipos móviles inadecuadamente protegidos físicamente</v>
      </c>
      <c r="K19" s="15">
        <f>+VLOOKUP(L19,Exportados!$D:$E,2,0)</f>
        <v>29</v>
      </c>
      <c r="L19" t="str">
        <f>_xlfn.TRANSLATE(E19,"en","es")</f>
        <v>Manipulación o destrucción de equipos</v>
      </c>
    </row>
    <row r="20" spans="2:12" x14ac:dyDescent="0.45">
      <c r="B20" s="2" t="s">
        <v>166</v>
      </c>
      <c r="C20" s="14" t="s">
        <v>20</v>
      </c>
      <c r="D20" s="14" t="s">
        <v>101</v>
      </c>
      <c r="E20" s="15" t="s">
        <v>159</v>
      </c>
      <c r="F20" s="15"/>
      <c r="G20" s="15">
        <f>+VLOOKUP(H20,Exportados!$H:$I,2,0)</f>
        <v>19</v>
      </c>
      <c r="H20" t="str">
        <f>_xlfn.TRANSLATE(C20,"en","es")</f>
        <v>Ordenadores de sobremesa</v>
      </c>
      <c r="I20" s="15">
        <f>+VLOOKUP(J20,Exportados!$A:$B,2,0)</f>
        <v>48</v>
      </c>
      <c r="J20" t="str">
        <f>_xlfn.TRANSLATE(D20,"en","es")</f>
        <v>Equipos móviles inadecuadamente protegidos físicamente</v>
      </c>
      <c r="K20" s="15">
        <f>+VLOOKUP(L20,Exportados!$D:$E,2,0)</f>
        <v>34</v>
      </c>
      <c r="L20" t="str">
        <f>_xlfn.TRANSLATE(E20,"en","es")</f>
        <v>Robo, vandalismo o sabotaje</v>
      </c>
    </row>
    <row r="21" spans="2:12" x14ac:dyDescent="0.45">
      <c r="B21" s="2" t="s">
        <v>167</v>
      </c>
      <c r="C21" s="14" t="s">
        <v>20</v>
      </c>
      <c r="D21" s="14" t="s">
        <v>101</v>
      </c>
      <c r="E21" s="15" t="s">
        <v>169</v>
      </c>
      <c r="F21" s="15"/>
      <c r="G21" s="15">
        <f>+VLOOKUP(H21,Exportados!$H:$I,2,0)</f>
        <v>19</v>
      </c>
      <c r="H21" t="str">
        <f>_xlfn.TRANSLATE(C21,"en","es")</f>
        <v>Ordenadores de sobremesa</v>
      </c>
      <c r="I21" s="15">
        <f>+VLOOKUP(J21,Exportados!$A:$B,2,0)</f>
        <v>48</v>
      </c>
      <c r="J21" t="str">
        <f>_xlfn.TRANSLATE(D21,"en","es")</f>
        <v>Equipos móviles inadecuadamente protegidos físicamente</v>
      </c>
      <c r="K21" s="15">
        <f>+VLOOKUP(L21,Exportados!$D:$E,2,0)</f>
        <v>35</v>
      </c>
      <c r="L21" t="str">
        <f>_xlfn.TRANSLATE(E21,"en","es")</f>
        <v>Acceso no autorizado a equipos, armarios, etc.</v>
      </c>
    </row>
    <row r="22" spans="2:12" ht="14.65" thickBot="1" x14ac:dyDescent="0.5">
      <c r="B22" s="2" t="s">
        <v>168</v>
      </c>
      <c r="C22" s="14" t="s">
        <v>20</v>
      </c>
      <c r="D22" s="14" t="s">
        <v>101</v>
      </c>
      <c r="E22" s="15" t="s">
        <v>170</v>
      </c>
      <c r="F22" s="15"/>
      <c r="G22" s="15">
        <f>+VLOOKUP(H22,Exportados!$H:$I,2,0)</f>
        <v>19</v>
      </c>
      <c r="H22" t="str">
        <f>_xlfn.TRANSLATE(C22,"en","es")</f>
        <v>Ordenadores de sobremesa</v>
      </c>
      <c r="I22" s="15">
        <f>+VLOOKUP(J22,Exportados!$A:$B,2,0)</f>
        <v>48</v>
      </c>
      <c r="J22" t="str">
        <f>_xlfn.TRANSLATE(D22,"en","es")</f>
        <v>Equipos móviles inadecuadamente protegidos físicamente</v>
      </c>
      <c r="K22" s="15">
        <f>+VLOOKUP(L22,Exportados!$D:$E,2,0)</f>
        <v>7</v>
      </c>
      <c r="L22" t="str">
        <f>_xlfn.TRANSLATE(E22,"en","es")</f>
        <v>Ocultación de la identidad del usuario</v>
      </c>
    </row>
    <row r="23" spans="2:12" ht="14.65" thickBot="1" x14ac:dyDescent="0.5">
      <c r="B23" s="3" t="s">
        <v>18</v>
      </c>
      <c r="C23" s="14" t="s">
        <v>20</v>
      </c>
      <c r="D23" s="14" t="s">
        <v>101</v>
      </c>
      <c r="E23" s="15" t="s">
        <v>171</v>
      </c>
      <c r="F23" s="15"/>
      <c r="G23" s="15">
        <f>+VLOOKUP(H23,Exportados!$H:$I,2,0)</f>
        <v>19</v>
      </c>
      <c r="H23" t="str">
        <f>_xlfn.TRANSLATE(C23,"en","es")</f>
        <v>Ordenadores de sobremesa</v>
      </c>
      <c r="I23" s="15">
        <f>+VLOOKUP(J23,Exportados!$A:$B,2,0)</f>
        <v>48</v>
      </c>
      <c r="J23" t="str">
        <f>_xlfn.TRANSLATE(D23,"en","es")</f>
        <v>Equipos móviles inadecuadamente protegidos físicamente</v>
      </c>
      <c r="K23" s="15">
        <f>+VLOOKUP(L23,Exportados!$D:$E,2,0)</f>
        <v>11</v>
      </c>
      <c r="L23" t="str">
        <f>_xlfn.TRANSLATE(E23,"en","es")</f>
        <v>Escuchar a escondidas.</v>
      </c>
    </row>
    <row r="24" spans="2:12" x14ac:dyDescent="0.45">
      <c r="B24" s="1" t="s">
        <v>19</v>
      </c>
      <c r="C24" s="14" t="s">
        <v>20</v>
      </c>
      <c r="D24" s="14" t="s">
        <v>101</v>
      </c>
      <c r="E24" s="15" t="s">
        <v>160</v>
      </c>
      <c r="F24" s="15"/>
      <c r="G24" s="15">
        <f>+VLOOKUP(H24,Exportados!$H:$I,2,0)</f>
        <v>19</v>
      </c>
      <c r="H24" t="str">
        <f>_xlfn.TRANSLATE(C24,"en","es")</f>
        <v>Ordenadores de sobremesa</v>
      </c>
      <c r="I24" s="15">
        <f>+VLOOKUP(J24,Exportados!$A:$B,2,0)</f>
        <v>48</v>
      </c>
      <c r="J24" t="str">
        <f>_xlfn.TRANSLATE(D24,"en","es")</f>
        <v>Equipos móviles inadecuadamente protegidos físicamente</v>
      </c>
      <c r="K24" s="15">
        <f>+VLOOKUP(L24,Exportados!$D:$E,2,0)</f>
        <v>33</v>
      </c>
      <c r="L24" t="str">
        <f>_xlfn.TRANSLATE(E24,"en","es")</f>
        <v>Atentado terrorista (bomba, tiroteo, etc.)</v>
      </c>
    </row>
    <row r="25" spans="2:12" x14ac:dyDescent="0.45">
      <c r="B25" s="5" t="s">
        <v>67</v>
      </c>
      <c r="C25" s="14" t="s">
        <v>20</v>
      </c>
      <c r="D25" s="14" t="s">
        <v>101</v>
      </c>
      <c r="E25" s="15" t="s">
        <v>172</v>
      </c>
      <c r="F25" s="15"/>
      <c r="G25" s="15">
        <f>+VLOOKUP(H25,Exportados!$H:$I,2,0)</f>
        <v>19</v>
      </c>
      <c r="H25" t="str">
        <f>_xlfn.TRANSLATE(C25,"en","es")</f>
        <v>Ordenadores de sobremesa</v>
      </c>
      <c r="I25" s="15">
        <f>+VLOOKUP(J25,Exportados!$A:$B,2,0)</f>
        <v>48</v>
      </c>
      <c r="J25" t="str">
        <f>_xlfn.TRANSLATE(D25,"en","es")</f>
        <v>Equipos móviles inadecuadamente protegidos físicamente</v>
      </c>
      <c r="K25" s="15">
        <f>+VLOOKUP(L25,Exportados!$D:$E,2,0)</f>
        <v>13</v>
      </c>
      <c r="L25" t="str">
        <f>_xlfn.TRANSLATE(E25,"en","es")</f>
        <v>Manipulación de equipos</v>
      </c>
    </row>
    <row r="26" spans="2:12" x14ac:dyDescent="0.45">
      <c r="B26" s="1" t="s">
        <v>156</v>
      </c>
      <c r="C26" s="14" t="s">
        <v>22</v>
      </c>
      <c r="D26" s="14" t="s">
        <v>85</v>
      </c>
      <c r="E26" s="15" t="s">
        <v>159</v>
      </c>
      <c r="F26" s="15"/>
      <c r="G26" s="15">
        <f>+VLOOKUP(H26,Exportados!$H:$I,2,0)</f>
        <v>21</v>
      </c>
      <c r="H26" t="str">
        <f>_xlfn.TRANSLATE(C26,"en","es")</f>
        <v>Servidores</v>
      </c>
      <c r="I26" s="15">
        <f>+VLOOKUP(J26,Exportados!$A:$B,2,0)</f>
        <v>83</v>
      </c>
      <c r="J26" t="str">
        <f>_xlfn.TRANSLATE(D26,"en","es")</f>
        <v>Uso de equipos antiguos de TI/comunicación</v>
      </c>
      <c r="K26" s="15">
        <f>+VLOOKUP(L26,Exportados!$D:$E,2,0)</f>
        <v>34</v>
      </c>
      <c r="L26" t="str">
        <f>_xlfn.TRANSLATE(E26,"en","es")</f>
        <v>Robo, vandalismo o sabotaje</v>
      </c>
    </row>
    <row r="27" spans="2:12" x14ac:dyDescent="0.45">
      <c r="B27" s="6" t="s">
        <v>20</v>
      </c>
      <c r="C27" s="14" t="s">
        <v>22</v>
      </c>
      <c r="D27" s="14" t="s">
        <v>85</v>
      </c>
      <c r="E27" s="15" t="s">
        <v>171</v>
      </c>
      <c r="F27" s="15"/>
      <c r="G27" s="15">
        <f>+VLOOKUP(H27,Exportados!$H:$I,2,0)</f>
        <v>21</v>
      </c>
      <c r="H27" t="str">
        <f>_xlfn.TRANSLATE(C27,"en","es")</f>
        <v>Servidores</v>
      </c>
      <c r="I27" s="15">
        <f>+VLOOKUP(J27,Exportados!$A:$B,2,0)</f>
        <v>83</v>
      </c>
      <c r="J27" t="str">
        <f>_xlfn.TRANSLATE(D27,"en","es")</f>
        <v>Uso de equipos antiguos de TI/comunicación</v>
      </c>
      <c r="K27" s="15">
        <f>+VLOOKUP(L27,Exportados!$D:$E,2,0)</f>
        <v>11</v>
      </c>
      <c r="L27" t="str">
        <f>_xlfn.TRANSLATE(E27,"en","es")</f>
        <v>Escuchar a escondidas.</v>
      </c>
    </row>
    <row r="28" spans="2:12" x14ac:dyDescent="0.45">
      <c r="B28" s="6" t="s">
        <v>101</v>
      </c>
      <c r="C28" s="14" t="s">
        <v>22</v>
      </c>
      <c r="D28" s="14" t="s">
        <v>85</v>
      </c>
      <c r="E28" s="15" t="s">
        <v>160</v>
      </c>
      <c r="F28" s="15"/>
      <c r="G28" s="15">
        <f>+VLOOKUP(H28,Exportados!$H:$I,2,0)</f>
        <v>21</v>
      </c>
      <c r="H28" t="str">
        <f>_xlfn.TRANSLATE(C28,"en","es")</f>
        <v>Servidores</v>
      </c>
      <c r="I28" s="15">
        <f>+VLOOKUP(J28,Exportados!$A:$B,2,0)</f>
        <v>83</v>
      </c>
      <c r="J28" t="str">
        <f>_xlfn.TRANSLATE(D28,"en","es")</f>
        <v>Uso de equipos antiguos de TI/comunicación</v>
      </c>
      <c r="K28" s="15">
        <f>+VLOOKUP(L28,Exportados!$D:$E,2,0)</f>
        <v>33</v>
      </c>
      <c r="L28" t="str">
        <f>_xlfn.TRANSLATE(E28,"en","es")</f>
        <v>Atentado terrorista (bomba, tiroteo, etc.)</v>
      </c>
    </row>
    <row r="29" spans="2:12" x14ac:dyDescent="0.45">
      <c r="B29" s="2" t="s">
        <v>157</v>
      </c>
      <c r="C29" s="14" t="s">
        <v>22</v>
      </c>
      <c r="D29" s="14" t="s">
        <v>85</v>
      </c>
      <c r="E29" s="15" t="s">
        <v>173</v>
      </c>
      <c r="F29" s="15"/>
      <c r="G29" s="15">
        <f>+VLOOKUP(H29,Exportados!$H:$I,2,0)</f>
        <v>21</v>
      </c>
      <c r="H29" t="str">
        <f>_xlfn.TRANSLATE(C29,"en","es")</f>
        <v>Servidores</v>
      </c>
      <c r="I29" s="15">
        <f>+VLOOKUP(J29,Exportados!$A:$B,2,0)</f>
        <v>83</v>
      </c>
      <c r="J29" t="str">
        <f>_xlfn.TRANSLATE(D29,"en","es")</f>
        <v>Uso de equipos antiguos de TI/comunicación</v>
      </c>
      <c r="K29" s="15">
        <f>+VLOOKUP(L29,Exportados!$D:$E,2,0)</f>
        <v>9</v>
      </c>
      <c r="L29" t="str">
        <f>_xlfn.TRANSLATE(E29,"en","es")</f>
        <v>Ataque de denegación de servicio</v>
      </c>
    </row>
    <row r="30" spans="2:12" x14ac:dyDescent="0.45">
      <c r="B30" s="2" t="s">
        <v>159</v>
      </c>
      <c r="C30" s="14" t="s">
        <v>22</v>
      </c>
      <c r="D30" s="14" t="s">
        <v>85</v>
      </c>
      <c r="E30" s="15" t="s">
        <v>174</v>
      </c>
      <c r="F30" s="15"/>
      <c r="G30" s="15">
        <f>+VLOOKUP(H30,Exportados!$H:$I,2,0)</f>
        <v>21</v>
      </c>
      <c r="H30" t="str">
        <f>_xlfn.TRANSLATE(C30,"en","es")</f>
        <v>Servidores</v>
      </c>
      <c r="I30" s="15">
        <f>+VLOOKUP(J30,Exportados!$A:$B,2,0)</f>
        <v>83</v>
      </c>
      <c r="J30" t="str">
        <f>_xlfn.TRANSLATE(D30,"en","es")</f>
        <v>Uso de equipos antiguos de TI/comunicación</v>
      </c>
      <c r="K30" s="15">
        <f>+VLOOKUP(L30,Exportados!$D:$E,2,0)</f>
        <v>6</v>
      </c>
      <c r="L30" t="str">
        <f>_xlfn.TRANSLATE(E30,"en","es")</f>
        <v>Ruptura de los enlaces de comunicación</v>
      </c>
    </row>
    <row r="31" spans="2:12" x14ac:dyDescent="0.45">
      <c r="B31" s="2" t="s">
        <v>169</v>
      </c>
      <c r="C31" s="14" t="s">
        <v>22</v>
      </c>
      <c r="D31" s="14" t="s">
        <v>85</v>
      </c>
      <c r="E31" s="15" t="s">
        <v>175</v>
      </c>
      <c r="F31" s="15"/>
      <c r="G31" s="15">
        <f>+VLOOKUP(H31,Exportados!$H:$I,2,0)</f>
        <v>21</v>
      </c>
      <c r="H31" t="str">
        <f>_xlfn.TRANSLATE(C31,"en","es")</f>
        <v>Servidores</v>
      </c>
      <c r="I31" s="15">
        <f>+VLOOKUP(J31,Exportados!$A:$B,2,0)</f>
        <v>83</v>
      </c>
      <c r="J31" t="str">
        <f>_xlfn.TRANSLATE(D31,"en","es")</f>
        <v>Uso de equipos antiguos de TI/comunicación</v>
      </c>
      <c r="K31" s="15">
        <f>+VLOOKUP(L31,Exportados!$D:$E,2,0)</f>
        <v>12</v>
      </c>
      <c r="L31" t="str">
        <f>_xlfn.TRANSLATE(E31,"en","es")</f>
        <v>Fallo del equipo</v>
      </c>
    </row>
    <row r="32" spans="2:12" x14ac:dyDescent="0.45">
      <c r="B32" s="2" t="s">
        <v>170</v>
      </c>
      <c r="C32" s="14" t="s">
        <v>22</v>
      </c>
      <c r="D32" s="14" t="s">
        <v>87</v>
      </c>
      <c r="E32" s="15" t="s">
        <v>171</v>
      </c>
      <c r="F32" s="15"/>
      <c r="G32" s="15">
        <f>+VLOOKUP(H32,Exportados!$H:$I,2,0)</f>
        <v>21</v>
      </c>
      <c r="H32" t="str">
        <f>_xlfn.TRANSLATE(C32,"en","es")</f>
        <v>Servidores</v>
      </c>
      <c r="I32" s="15">
        <f>+VLOOKUP(J32,Exportados!$A:$B,2,0)</f>
        <v>75</v>
      </c>
      <c r="J32" t="str">
        <f>_xlfn.TRANSLATE(D32,"en","es")</f>
        <v>El entorno de prueba y el entorno operativo no están separados</v>
      </c>
      <c r="K32" s="15">
        <f>+VLOOKUP(L32,Exportados!$D:$E,2,0)</f>
        <v>11</v>
      </c>
      <c r="L32" t="str">
        <f>_xlfn.TRANSLATE(E32,"en","es")</f>
        <v>Escuchar a escondidas.</v>
      </c>
    </row>
    <row r="33" spans="2:12" x14ac:dyDescent="0.45">
      <c r="B33" s="2" t="s">
        <v>171</v>
      </c>
      <c r="C33" s="14" t="s">
        <v>22</v>
      </c>
      <c r="D33" s="14" t="s">
        <v>87</v>
      </c>
      <c r="E33" s="15" t="s">
        <v>173</v>
      </c>
      <c r="F33" s="15"/>
      <c r="G33" s="15">
        <f>+VLOOKUP(H33,Exportados!$H:$I,2,0)</f>
        <v>21</v>
      </c>
      <c r="H33" t="str">
        <f>_xlfn.TRANSLATE(C33,"en","es")</f>
        <v>Servidores</v>
      </c>
      <c r="I33" s="15">
        <f>+VLOOKUP(J33,Exportados!$A:$B,2,0)</f>
        <v>75</v>
      </c>
      <c r="J33" t="str">
        <f>_xlfn.TRANSLATE(D33,"en","es")</f>
        <v>El entorno de prueba y el entorno operativo no están separados</v>
      </c>
      <c r="K33" s="15">
        <f>+VLOOKUP(L33,Exportados!$D:$E,2,0)</f>
        <v>9</v>
      </c>
      <c r="L33" t="str">
        <f>_xlfn.TRANSLATE(E33,"en","es")</f>
        <v>Ataque de denegación de servicio</v>
      </c>
    </row>
    <row r="34" spans="2:12" x14ac:dyDescent="0.45">
      <c r="B34" s="2" t="s">
        <v>160</v>
      </c>
      <c r="C34" s="14" t="s">
        <v>22</v>
      </c>
      <c r="D34" s="14" t="s">
        <v>94</v>
      </c>
      <c r="E34" s="15" t="s">
        <v>176</v>
      </c>
      <c r="F34" s="15"/>
      <c r="G34" s="15">
        <f>+VLOOKUP(H34,Exportados!$H:$I,2,0)</f>
        <v>21</v>
      </c>
      <c r="H34" t="str">
        <f>_xlfn.TRANSLATE(C34,"en","es")</f>
        <v>Servidores</v>
      </c>
      <c r="I34" s="15">
        <f>+VLOOKUP(J34,Exportados!$A:$B,2,0)</f>
        <v>13</v>
      </c>
      <c r="J34" t="str">
        <f>_xlfn.TRANSLATE(D34,"en","es")</f>
        <v>Control inadecuado de cambios en equipos de TI / comunicaciones</v>
      </c>
      <c r="K34" s="15">
        <f>+VLOOKUP(L34,Exportados!$D:$E,2,0)</f>
        <v>25</v>
      </c>
      <c r="L34" t="str">
        <f>_xlfn.TRANSLATE(E34,"en","es")</f>
        <v>Errores de mantenimiento</v>
      </c>
    </row>
    <row r="35" spans="2:12" x14ac:dyDescent="0.45">
      <c r="B35" s="2" t="s">
        <v>172</v>
      </c>
      <c r="C35" s="14" t="s">
        <v>22</v>
      </c>
      <c r="D35" s="14" t="s">
        <v>94</v>
      </c>
      <c r="E35" s="15" t="s">
        <v>171</v>
      </c>
      <c r="F35" s="15"/>
      <c r="G35" s="15">
        <f>+VLOOKUP(H35,Exportados!$H:$I,2,0)</f>
        <v>21</v>
      </c>
      <c r="H35" t="str">
        <f>_xlfn.TRANSLATE(C35,"en","es")</f>
        <v>Servidores</v>
      </c>
      <c r="I35" s="15">
        <f>+VLOOKUP(J35,Exportados!$A:$B,2,0)</f>
        <v>13</v>
      </c>
      <c r="J35" t="str">
        <f>_xlfn.TRANSLATE(D35,"en","es")</f>
        <v>Control inadecuado de cambios en equipos de TI / comunicaciones</v>
      </c>
      <c r="K35" s="15">
        <f>+VLOOKUP(L35,Exportados!$D:$E,2,0)</f>
        <v>11</v>
      </c>
      <c r="L35" t="str">
        <f>_xlfn.TRANSLATE(E35,"en","es")</f>
        <v>Escuchar a escondidas.</v>
      </c>
    </row>
    <row r="36" spans="2:12" x14ac:dyDescent="0.45">
      <c r="B36" s="6" t="s">
        <v>22</v>
      </c>
      <c r="C36" s="14" t="s">
        <v>22</v>
      </c>
      <c r="D36" s="14" t="s">
        <v>94</v>
      </c>
      <c r="E36" s="15" t="s">
        <v>174</v>
      </c>
      <c r="F36" s="15"/>
      <c r="G36" s="15">
        <f>+VLOOKUP(H36,Exportados!$H:$I,2,0)</f>
        <v>21</v>
      </c>
      <c r="H36" t="str">
        <f>_xlfn.TRANSLATE(C36,"en","es")</f>
        <v>Servidores</v>
      </c>
      <c r="I36" s="15">
        <f>+VLOOKUP(J36,Exportados!$A:$B,2,0)</f>
        <v>13</v>
      </c>
      <c r="J36" t="str">
        <f>_xlfn.TRANSLATE(D36,"en","es")</f>
        <v>Control inadecuado de cambios en equipos de TI / comunicaciones</v>
      </c>
      <c r="K36" s="15">
        <f>+VLOOKUP(L36,Exportados!$D:$E,2,0)</f>
        <v>6</v>
      </c>
      <c r="L36" t="str">
        <f>_xlfn.TRANSLATE(E36,"en","es")</f>
        <v>Ruptura de los enlaces de comunicación</v>
      </c>
    </row>
    <row r="37" spans="2:12" x14ac:dyDescent="0.45">
      <c r="B37" s="6" t="s">
        <v>85</v>
      </c>
      <c r="C37" s="14" t="s">
        <v>30</v>
      </c>
      <c r="D37" s="14" t="s">
        <v>90</v>
      </c>
      <c r="E37" s="15" t="s">
        <v>157</v>
      </c>
      <c r="F37" s="15"/>
      <c r="G37" s="15">
        <f>+VLOOKUP(H37,Exportados!$H:$I,2,0)</f>
        <v>29</v>
      </c>
      <c r="H37" t="str">
        <f>_xlfn.TRANSLATE(C37,"en","es")</f>
        <v>Dispositivos móviles (por ejemplo, portátiles, portátiles, tabletas, smartphones, PDAs)</v>
      </c>
      <c r="I37" s="15">
        <f>+VLOOKUP(J37,Exportados!$A:$B,2,0)</f>
        <v>47</v>
      </c>
      <c r="J37" t="str">
        <f>_xlfn.TRANSLATE(D37,"en","es")</f>
        <v>Equipos móviles mal atendidos</v>
      </c>
      <c r="K37" s="15">
        <f>+VLOOKUP(L37,Exportados!$D:$E,2,0)</f>
        <v>29</v>
      </c>
      <c r="L37" t="str">
        <f>_xlfn.TRANSLATE(E37,"en","es")</f>
        <v>Manipulación o destrucción de equipos</v>
      </c>
    </row>
    <row r="38" spans="2:12" x14ac:dyDescent="0.45">
      <c r="B38" s="2" t="s">
        <v>159</v>
      </c>
      <c r="C38" s="14" t="s">
        <v>30</v>
      </c>
      <c r="D38" s="14" t="s">
        <v>90</v>
      </c>
      <c r="E38" s="15" t="s">
        <v>159</v>
      </c>
      <c r="F38" s="15"/>
      <c r="G38" s="15">
        <f>+VLOOKUP(H38,Exportados!$H:$I,2,0)</f>
        <v>29</v>
      </c>
      <c r="H38" t="str">
        <f>_xlfn.TRANSLATE(C38,"en","es")</f>
        <v>Dispositivos móviles (por ejemplo, portátiles, portátiles, tabletas, smartphones, PDAs)</v>
      </c>
      <c r="I38" s="15">
        <f>+VLOOKUP(J38,Exportados!$A:$B,2,0)</f>
        <v>47</v>
      </c>
      <c r="J38" t="str">
        <f>_xlfn.TRANSLATE(D38,"en","es")</f>
        <v>Equipos móviles mal atendidos</v>
      </c>
      <c r="K38" s="15">
        <f>+VLOOKUP(L38,Exportados!$D:$E,2,0)</f>
        <v>34</v>
      </c>
      <c r="L38" t="str">
        <f>_xlfn.TRANSLATE(E38,"en","es")</f>
        <v>Robo, vandalismo o sabotaje</v>
      </c>
    </row>
    <row r="39" spans="2:12" x14ac:dyDescent="0.45">
      <c r="B39" s="2" t="s">
        <v>171</v>
      </c>
      <c r="C39" s="14" t="s">
        <v>30</v>
      </c>
      <c r="D39" s="14" t="s">
        <v>90</v>
      </c>
      <c r="E39" s="15" t="s">
        <v>170</v>
      </c>
      <c r="F39" s="15"/>
      <c r="G39" s="15">
        <f>+VLOOKUP(H39,Exportados!$H:$I,2,0)</f>
        <v>29</v>
      </c>
      <c r="H39" t="str">
        <f>_xlfn.TRANSLATE(C39,"en","es")</f>
        <v>Dispositivos móviles (por ejemplo, portátiles, portátiles, tabletas, smartphones, PDAs)</v>
      </c>
      <c r="I39" s="15">
        <f>+VLOOKUP(J39,Exportados!$A:$B,2,0)</f>
        <v>47</v>
      </c>
      <c r="J39" t="str">
        <f>_xlfn.TRANSLATE(D39,"en","es")</f>
        <v>Equipos móviles mal atendidos</v>
      </c>
      <c r="K39" s="15">
        <f>+VLOOKUP(L39,Exportados!$D:$E,2,0)</f>
        <v>7</v>
      </c>
      <c r="L39" t="str">
        <f>_xlfn.TRANSLATE(E39,"en","es")</f>
        <v>Ocultación de la identidad del usuario</v>
      </c>
    </row>
    <row r="40" spans="2:12" x14ac:dyDescent="0.45">
      <c r="B40" s="2" t="s">
        <v>160</v>
      </c>
      <c r="C40" s="14" t="s">
        <v>30</v>
      </c>
      <c r="D40" s="14" t="s">
        <v>90</v>
      </c>
      <c r="E40" s="15" t="s">
        <v>171</v>
      </c>
      <c r="F40" s="15"/>
      <c r="G40" s="15">
        <f>+VLOOKUP(H40,Exportados!$H:$I,2,0)</f>
        <v>29</v>
      </c>
      <c r="H40" t="str">
        <f>_xlfn.TRANSLATE(C40,"en","es")</f>
        <v>Dispositivos móviles (por ejemplo, portátiles, portátiles, tabletas, smartphones, PDAs)</v>
      </c>
      <c r="I40" s="15">
        <f>+VLOOKUP(J40,Exportados!$A:$B,2,0)</f>
        <v>47</v>
      </c>
      <c r="J40" t="str">
        <f>_xlfn.TRANSLATE(D40,"en","es")</f>
        <v>Equipos móviles mal atendidos</v>
      </c>
      <c r="K40" s="15">
        <f>+VLOOKUP(L40,Exportados!$D:$E,2,0)</f>
        <v>11</v>
      </c>
      <c r="L40" t="str">
        <f>_xlfn.TRANSLATE(E40,"en","es")</f>
        <v>Escuchar a escondidas.</v>
      </c>
    </row>
    <row r="41" spans="2:12" x14ac:dyDescent="0.45">
      <c r="B41" s="2" t="s">
        <v>173</v>
      </c>
      <c r="C41" s="14" t="s">
        <v>30</v>
      </c>
      <c r="D41" s="14" t="s">
        <v>90</v>
      </c>
      <c r="E41" s="15" t="s">
        <v>172</v>
      </c>
      <c r="F41" s="15"/>
      <c r="G41" s="15">
        <f>+VLOOKUP(H41,Exportados!$H:$I,2,0)</f>
        <v>29</v>
      </c>
      <c r="H41" t="str">
        <f>_xlfn.TRANSLATE(C41,"en","es")</f>
        <v>Dispositivos móviles (por ejemplo, portátiles, portátiles, tabletas, smartphones, PDAs)</v>
      </c>
      <c r="I41" s="15">
        <f>+VLOOKUP(J41,Exportados!$A:$B,2,0)</f>
        <v>47</v>
      </c>
      <c r="J41" t="str">
        <f>_xlfn.TRANSLATE(D41,"en","es")</f>
        <v>Equipos móviles mal atendidos</v>
      </c>
      <c r="K41" s="15">
        <f>+VLOOKUP(L41,Exportados!$D:$E,2,0)</f>
        <v>13</v>
      </c>
      <c r="L41" t="str">
        <f>_xlfn.TRANSLATE(E41,"en","es")</f>
        <v>Manipulación de equipos</v>
      </c>
    </row>
    <row r="42" spans="2:12" x14ac:dyDescent="0.45">
      <c r="B42" s="2" t="s">
        <v>174</v>
      </c>
      <c r="C42" s="14" t="s">
        <v>30</v>
      </c>
      <c r="D42" s="14" t="s">
        <v>100</v>
      </c>
      <c r="E42" s="15" t="s">
        <v>173</v>
      </c>
      <c r="F42" s="15"/>
      <c r="G42" s="15">
        <f>+VLOOKUP(H42,Exportados!$H:$I,2,0)</f>
        <v>29</v>
      </c>
      <c r="H42" t="str">
        <f>_xlfn.TRANSLATE(C42,"en","es")</f>
        <v>Dispositivos móviles (por ejemplo, portátiles, portátiles, tabletas, smartphones, PDAs)</v>
      </c>
      <c r="I42" s="15">
        <f>+VLOOKUP(J42,Exportados!$A:$B,2,0)</f>
        <v>9</v>
      </c>
      <c r="J42" t="str">
        <f>_xlfn.TRANSLATE(D42,"en","es")</f>
        <v>Descargas de Internet no controladas</v>
      </c>
      <c r="K42" s="15">
        <f>+VLOOKUP(L42,Exportados!$D:$E,2,0)</f>
        <v>9</v>
      </c>
      <c r="L42" t="str">
        <f>_xlfn.TRANSLATE(E42,"en","es")</f>
        <v>Ataque de denegación de servicio</v>
      </c>
    </row>
    <row r="43" spans="2:12" x14ac:dyDescent="0.45">
      <c r="B43" s="2" t="s">
        <v>175</v>
      </c>
      <c r="C43" s="14" t="s">
        <v>33</v>
      </c>
      <c r="D43" s="14" t="s">
        <v>102</v>
      </c>
      <c r="E43" s="15" t="s">
        <v>177</v>
      </c>
      <c r="F43" s="15"/>
      <c r="G43" s="15">
        <f>+VLOOKUP(H43,Exportados!$H:$I,2,0)</f>
        <v>31</v>
      </c>
      <c r="H43" t="str">
        <f>_xlfn.TRANSLATE(C43,"en","es")</f>
        <v>Diversas herramientas de software</v>
      </c>
      <c r="I43" s="15">
        <f>+VLOOKUP(J43,Exportados!$A:$B,2,0)</f>
        <v>1</v>
      </c>
      <c r="J43" t="str">
        <f>_xlfn.TRANSLATE(D43,"en","es")</f>
        <v>Los derechos de acceso se conceden más allá de lo necesario</v>
      </c>
      <c r="K43" s="15">
        <f>+VLOOKUP(L43,Exportados!$D:$E,2,0)</f>
        <v>4</v>
      </c>
      <c r="L43" t="str">
        <f>_xlfn.TRANSLATE(E43,"en","es")</f>
        <v>Incumplimiento de contratos o acuerdos</v>
      </c>
    </row>
    <row r="44" spans="2:12" x14ac:dyDescent="0.45">
      <c r="B44" s="6" t="s">
        <v>87</v>
      </c>
      <c r="C44" s="14" t="s">
        <v>33</v>
      </c>
      <c r="D44" s="14" t="s">
        <v>102</v>
      </c>
      <c r="E44" s="15" t="s">
        <v>178</v>
      </c>
      <c r="F44" s="15"/>
      <c r="G44" s="15">
        <f>+VLOOKUP(H44,Exportados!$H:$I,2,0)</f>
        <v>31</v>
      </c>
      <c r="H44" t="str">
        <f>_xlfn.TRANSLATE(C44,"en","es")</f>
        <v>Diversas herramientas de software</v>
      </c>
      <c r="I44" s="15">
        <f>+VLOOKUP(J44,Exportados!$A:$B,2,0)</f>
        <v>1</v>
      </c>
      <c r="J44" t="str">
        <f>_xlfn.TRANSLATE(D44,"en","es")</f>
        <v>Los derechos de acceso se conceden más allá de lo necesario</v>
      </c>
      <c r="K44" s="15">
        <f>+VLOOKUP(L44,Exportados!$D:$E,2,0)</f>
        <v>5</v>
      </c>
      <c r="L44" t="str">
        <f>_xlfn.TRANSLATE(E44,"en","es")</f>
        <v>Incumplimiento de leyes o reglamentos</v>
      </c>
    </row>
    <row r="45" spans="2:12" x14ac:dyDescent="0.45">
      <c r="B45" s="2" t="s">
        <v>171</v>
      </c>
      <c r="C45" s="14" t="s">
        <v>33</v>
      </c>
      <c r="D45" s="14" t="s">
        <v>102</v>
      </c>
      <c r="E45" s="15" t="s">
        <v>179</v>
      </c>
      <c r="F45" s="15"/>
      <c r="G45" s="15">
        <f>+VLOOKUP(H45,Exportados!$H:$I,2,0)</f>
        <v>31</v>
      </c>
      <c r="H45" t="str">
        <f>_xlfn.TRANSLATE(C45,"en","es")</f>
        <v>Diversas herramientas de software</v>
      </c>
      <c r="I45" s="15">
        <f>+VLOOKUP(J45,Exportados!$A:$B,2,0)</f>
        <v>1</v>
      </c>
      <c r="J45" t="str">
        <f>_xlfn.TRANSLATE(D45,"en","es")</f>
        <v>Los derechos de acceso se conceden más allá de lo necesario</v>
      </c>
      <c r="K45" s="15">
        <f>+VLOOKUP(L45,Exportados!$D:$E,2,0)</f>
        <v>17</v>
      </c>
      <c r="L45" t="str">
        <f>_xlfn.TRANSLATE(E45,"en","es")</f>
        <v>Uso inadecuado de sistemas o información informática</v>
      </c>
    </row>
    <row r="46" spans="2:12" x14ac:dyDescent="0.45">
      <c r="B46" s="2" t="s">
        <v>173</v>
      </c>
      <c r="C46" s="14" t="s">
        <v>33</v>
      </c>
      <c r="D46" s="14" t="s">
        <v>102</v>
      </c>
      <c r="E46" s="15" t="s">
        <v>180</v>
      </c>
      <c r="F46" s="15"/>
      <c r="G46" s="15">
        <f>+VLOOKUP(H46,Exportados!$H:$I,2,0)</f>
        <v>31</v>
      </c>
      <c r="H46" t="str">
        <f>_xlfn.TRANSLATE(C46,"en","es")</f>
        <v>Diversas herramientas de software</v>
      </c>
      <c r="I46" s="15">
        <f>+VLOOKUP(J46,Exportados!$A:$B,2,0)</f>
        <v>1</v>
      </c>
      <c r="J46" t="str">
        <f>_xlfn.TRANSLATE(D46,"en","es")</f>
        <v>Los derechos de acceso se conceden más allá de lo necesario</v>
      </c>
      <c r="K46" s="15">
        <f>+VLOOKUP(L46,Exportados!$D:$E,2,0)</f>
        <v>40</v>
      </c>
      <c r="L46" t="str">
        <f>_xlfn.TRANSLATE(E46,"en","es")</f>
        <v>Cambio no intencionado de datos en un sistema de información</v>
      </c>
    </row>
    <row r="47" spans="2:12" x14ac:dyDescent="0.45">
      <c r="B47" s="6" t="s">
        <v>94</v>
      </c>
      <c r="C47" s="14" t="s">
        <v>33</v>
      </c>
      <c r="D47" s="14" t="s">
        <v>102</v>
      </c>
      <c r="E47" s="15" t="s">
        <v>181</v>
      </c>
      <c r="F47" s="15"/>
      <c r="G47" s="15">
        <f>+VLOOKUP(H47,Exportados!$H:$I,2,0)</f>
        <v>31</v>
      </c>
      <c r="H47" t="str">
        <f>_xlfn.TRANSLATE(C47,"en","es")</f>
        <v>Diversas herramientas de software</v>
      </c>
      <c r="I47" s="15">
        <f>+VLOOKUP(J47,Exportados!$A:$B,2,0)</f>
        <v>1</v>
      </c>
      <c r="J47" t="str">
        <f>_xlfn.TRANSLATE(D47,"en","es")</f>
        <v>Los derechos de acceso se conceden más allá de lo necesario</v>
      </c>
      <c r="K47" s="15">
        <f>+VLOOKUP(L47,Exportados!$D:$E,2,0)</f>
        <v>38</v>
      </c>
      <c r="L47" t="str">
        <f>_xlfn.TRANSLATE(E47,"en","es")</f>
        <v>Acceso no intencionado a sistemas de información</v>
      </c>
    </row>
    <row r="48" spans="2:12" x14ac:dyDescent="0.45">
      <c r="B48" s="2" t="s">
        <v>176</v>
      </c>
      <c r="C48" s="14" t="s">
        <v>33</v>
      </c>
      <c r="D48" s="14" t="s">
        <v>102</v>
      </c>
      <c r="E48" s="15" t="s">
        <v>182</v>
      </c>
      <c r="F48" s="15"/>
      <c r="G48" s="15">
        <f>+VLOOKUP(H48,Exportados!$H:$I,2,0)</f>
        <v>31</v>
      </c>
      <c r="H48" t="str">
        <f>_xlfn.TRANSLATE(C48,"en","es")</f>
        <v>Diversas herramientas de software</v>
      </c>
      <c r="I48" s="15">
        <f>+VLOOKUP(J48,Exportados!$A:$B,2,0)</f>
        <v>1</v>
      </c>
      <c r="J48" t="str">
        <f>_xlfn.TRANSLATE(D48,"en","es")</f>
        <v>Los derechos de acceso se conceden más allá de lo necesario</v>
      </c>
      <c r="K48" s="15">
        <f>+VLOOKUP(L48,Exportados!$D:$E,2,0)</f>
        <v>43</v>
      </c>
      <c r="L48" t="str">
        <f>_xlfn.TRANSLATE(E48,"en","es")</f>
        <v>Instalación no intencionada de software</v>
      </c>
    </row>
    <row r="49" spans="2:12" x14ac:dyDescent="0.45">
      <c r="B49" s="2" t="s">
        <v>171</v>
      </c>
      <c r="C49" s="14" t="s">
        <v>33</v>
      </c>
      <c r="D49" s="14" t="s">
        <v>102</v>
      </c>
      <c r="E49" s="15" t="s">
        <v>183</v>
      </c>
      <c r="F49" s="15"/>
      <c r="G49" s="15">
        <f>+VLOOKUP(H49,Exportados!$H:$I,2,0)</f>
        <v>31</v>
      </c>
      <c r="H49" t="str">
        <f>_xlfn.TRANSLATE(C49,"en","es")</f>
        <v>Diversas herramientas de software</v>
      </c>
      <c r="I49" s="15">
        <f>+VLOOKUP(J49,Exportados!$A:$B,2,0)</f>
        <v>1</v>
      </c>
      <c r="J49" t="str">
        <f>_xlfn.TRANSLATE(D49,"en","es")</f>
        <v>Los derechos de acceso se conceden más allá de lo necesario</v>
      </c>
      <c r="K49" s="15">
        <f>+VLOOKUP(L49,Exportados!$D:$E,2,0)</f>
        <v>44</v>
      </c>
      <c r="L49" t="str">
        <f>_xlfn.TRANSLATE(E49,"en","es")</f>
        <v>Uso no intencionado de materiales licenciados</v>
      </c>
    </row>
    <row r="50" spans="2:12" x14ac:dyDescent="0.45">
      <c r="B50" s="2" t="s">
        <v>174</v>
      </c>
      <c r="C50" s="14" t="s">
        <v>33</v>
      </c>
      <c r="D50" s="14" t="s">
        <v>102</v>
      </c>
      <c r="E50" s="15" t="s">
        <v>184</v>
      </c>
      <c r="F50" s="15"/>
      <c r="G50" s="15">
        <f>+VLOOKUP(H50,Exportados!$H:$I,2,0)</f>
        <v>31</v>
      </c>
      <c r="H50" t="str">
        <f>_xlfn.TRANSLATE(C50,"en","es")</f>
        <v>Diversas herramientas de software</v>
      </c>
      <c r="I50" s="15">
        <f>+VLOOKUP(J50,Exportados!$A:$B,2,0)</f>
        <v>1</v>
      </c>
      <c r="J50" t="str">
        <f>_xlfn.TRANSLATE(D50,"en","es")</f>
        <v>Los derechos de acceso se conceden más allá de lo necesario</v>
      </c>
      <c r="K50" s="15">
        <f>+VLOOKUP(L50,Exportados!$D:$E,2,0)</f>
        <v>45</v>
      </c>
      <c r="L50" t="str">
        <f>_xlfn.TRANSLATE(E50,"en","es")</f>
        <v>Uso no intencionado de código no probado o prohibido</v>
      </c>
    </row>
    <row r="51" spans="2:12" x14ac:dyDescent="0.45">
      <c r="B51" s="6" t="s">
        <v>30</v>
      </c>
      <c r="C51" s="14" t="s">
        <v>33</v>
      </c>
      <c r="D51" s="14" t="s">
        <v>102</v>
      </c>
      <c r="E51" s="15" t="s">
        <v>185</v>
      </c>
      <c r="F51" s="15"/>
      <c r="G51" s="15">
        <f>+VLOOKUP(H51,Exportados!$H:$I,2,0)</f>
        <v>31</v>
      </c>
      <c r="H51" t="str">
        <f>_xlfn.TRANSLATE(C51,"en","es")</f>
        <v>Diversas herramientas de software</v>
      </c>
      <c r="I51" s="15">
        <f>+VLOOKUP(J51,Exportados!$A:$B,2,0)</f>
        <v>1</v>
      </c>
      <c r="J51" t="str">
        <f>_xlfn.TRANSLATE(D51,"en","es")</f>
        <v>Los derechos de acceso se conceden más allá de lo necesario</v>
      </c>
      <c r="K51" s="15">
        <f>+VLOOKUP(L51,Exportados!$D:$E,2,0)</f>
        <v>46</v>
      </c>
      <c r="L51" t="str">
        <f>_xlfn.TRANSLATE(E51,"en","es")</f>
        <v>Error no intencionado del usuario</v>
      </c>
    </row>
    <row r="52" spans="2:12" x14ac:dyDescent="0.45">
      <c r="B52" s="6" t="s">
        <v>90</v>
      </c>
      <c r="C52" s="14" t="s">
        <v>33</v>
      </c>
      <c r="D52" s="14" t="s">
        <v>102</v>
      </c>
      <c r="E52" s="15" t="s">
        <v>186</v>
      </c>
      <c r="F52" s="15"/>
      <c r="G52" s="15">
        <f>+VLOOKUP(H52,Exportados!$H:$I,2,0)</f>
        <v>31</v>
      </c>
      <c r="H52" t="str">
        <f>_xlfn.TRANSLATE(C52,"en","es")</f>
        <v>Diversas herramientas de software</v>
      </c>
      <c r="I52" s="15">
        <f>+VLOOKUP(J52,Exportados!$A:$B,2,0)</f>
        <v>1</v>
      </c>
      <c r="J52" t="str">
        <f>_xlfn.TRANSLATE(D52,"en","es")</f>
        <v>Los derechos de acceso se conceden más allá de lo necesario</v>
      </c>
      <c r="K52" s="15">
        <f>+VLOOKUP(L52,Exportados!$D:$E,2,0)</f>
        <v>41</v>
      </c>
      <c r="L52" t="str">
        <f>_xlfn.TRANSLATE(E52,"en","es")</f>
        <v>Daños no intencionados sufridos durante las pruebas de penetración</v>
      </c>
    </row>
    <row r="53" spans="2:12" x14ac:dyDescent="0.45">
      <c r="B53" s="2" t="s">
        <v>157</v>
      </c>
      <c r="C53" s="14" t="s">
        <v>33</v>
      </c>
      <c r="D53" s="14" t="s">
        <v>102</v>
      </c>
      <c r="E53" s="15" t="s">
        <v>187</v>
      </c>
      <c r="F53" s="15"/>
      <c r="G53" s="15">
        <f>+VLOOKUP(H53,Exportados!$H:$I,2,0)</f>
        <v>31</v>
      </c>
      <c r="H53" t="str">
        <f>_xlfn.TRANSLATE(C53,"en","es")</f>
        <v>Diversas herramientas de software</v>
      </c>
      <c r="I53" s="15">
        <f>+VLOOKUP(J53,Exportados!$A:$B,2,0)</f>
        <v>1</v>
      </c>
      <c r="J53" t="str">
        <f>_xlfn.TRANSLATE(D53,"en","es")</f>
        <v>Los derechos de acceso se conceden más allá de lo necesario</v>
      </c>
      <c r="K53" s="15">
        <f>+VLOOKUP(L53,Exportados!$D:$E,2,0)</f>
        <v>37</v>
      </c>
      <c r="L53" t="str">
        <f>_xlfn.TRANSLATE(E53,"en","es")</f>
        <v>Uso, manipulación o destrucción no autorizada de software</v>
      </c>
    </row>
    <row r="54" spans="2:12" x14ac:dyDescent="0.45">
      <c r="B54" s="2" t="s">
        <v>159</v>
      </c>
      <c r="C54" s="14" t="s">
        <v>33</v>
      </c>
      <c r="D54" s="14" t="s">
        <v>102</v>
      </c>
      <c r="E54" s="15" t="s">
        <v>188</v>
      </c>
      <c r="F54" s="15"/>
      <c r="G54" s="15">
        <f>+VLOOKUP(H54,Exportados!$H:$I,2,0)</f>
        <v>31</v>
      </c>
      <c r="H54" t="str">
        <f>_xlfn.TRANSLATE(C54,"en","es")</f>
        <v>Diversas herramientas de software</v>
      </c>
      <c r="I54" s="15">
        <f>+VLOOKUP(J54,Exportados!$A:$B,2,0)</f>
        <v>1</v>
      </c>
      <c r="J54" t="str">
        <f>_xlfn.TRANSLATE(D54,"en","es")</f>
        <v>Los derechos de acceso se conceden más allá de lo necesario</v>
      </c>
      <c r="K54" s="15">
        <f>+VLOOKUP(L54,Exportados!$D:$E,2,0)</f>
        <v>21</v>
      </c>
      <c r="L54" t="str">
        <f>_xlfn.TRANSLATE(E54,"en","es")</f>
        <v>Infección por software malicioso (por ejemplo, virus, troyano, etc.)</v>
      </c>
    </row>
    <row r="55" spans="2:12" x14ac:dyDescent="0.45">
      <c r="B55" s="2" t="s">
        <v>170</v>
      </c>
      <c r="C55" s="14" t="s">
        <v>33</v>
      </c>
      <c r="D55" s="14" t="s">
        <v>102</v>
      </c>
      <c r="E55" s="15" t="s">
        <v>189</v>
      </c>
      <c r="F55" s="15"/>
      <c r="G55" s="15">
        <f>+VLOOKUP(H55,Exportados!$H:$I,2,0)</f>
        <v>31</v>
      </c>
      <c r="H55" t="str">
        <f>_xlfn.TRANSLATE(C55,"en","es")</f>
        <v>Diversas herramientas de software</v>
      </c>
      <c r="I55" s="15">
        <f>+VLOOKUP(J55,Exportados!$A:$B,2,0)</f>
        <v>1</v>
      </c>
      <c r="J55" t="str">
        <f>_xlfn.TRANSLATE(D55,"en","es")</f>
        <v>Los derechos de acceso se conceden más allá de lo necesario</v>
      </c>
      <c r="K55" s="15">
        <f>+VLOOKUP(L55,Exportados!$D:$E,2,0)</f>
        <v>30</v>
      </c>
      <c r="L55" t="str">
        <f>_xlfn.TRANSLATE(E55,"en","es")</f>
        <v>Uso indebido de herramientas de auditoría</v>
      </c>
    </row>
    <row r="56" spans="2:12" x14ac:dyDescent="0.45">
      <c r="B56" s="2" t="s">
        <v>171</v>
      </c>
      <c r="C56" s="14" t="s">
        <v>33</v>
      </c>
      <c r="D56" s="14" t="s">
        <v>102</v>
      </c>
      <c r="E56" s="15" t="s">
        <v>190</v>
      </c>
      <c r="F56" s="15"/>
      <c r="G56" s="15">
        <f>+VLOOKUP(H56,Exportados!$H:$I,2,0)</f>
        <v>31</v>
      </c>
      <c r="H56" t="str">
        <f>_xlfn.TRANSLATE(C56,"en","es")</f>
        <v>Diversas herramientas de software</v>
      </c>
      <c r="I56" s="15">
        <f>+VLOOKUP(J56,Exportados!$A:$B,2,0)</f>
        <v>1</v>
      </c>
      <c r="J56" t="str">
        <f>_xlfn.TRANSLATE(D56,"en","es")</f>
        <v>Los derechos de acceso se conceden más allá de lo necesario</v>
      </c>
      <c r="K56" s="15">
        <f>+VLOOKUP(L56,Exportados!$D:$E,2,0)</f>
        <v>1</v>
      </c>
      <c r="L56" t="str">
        <f>_xlfn.TRANSLATE(E56,"en","es")</f>
        <v>Sistema de acceso a la información con intención maliciosa</v>
      </c>
    </row>
    <row r="57" spans="2:12" x14ac:dyDescent="0.45">
      <c r="B57" s="2" t="s">
        <v>172</v>
      </c>
      <c r="C57" s="14" t="s">
        <v>33</v>
      </c>
      <c r="D57" s="14" t="s">
        <v>102</v>
      </c>
      <c r="E57" s="15" t="s">
        <v>191</v>
      </c>
      <c r="F57" s="15"/>
      <c r="G57" s="15">
        <f>+VLOOKUP(H57,Exportados!$H:$I,2,0)</f>
        <v>31</v>
      </c>
      <c r="H57" t="str">
        <f>_xlfn.TRANSLATE(C57,"en","es")</f>
        <v>Diversas herramientas de software</v>
      </c>
      <c r="I57" s="15">
        <f>+VLOOKUP(J57,Exportados!$A:$B,2,0)</f>
        <v>1</v>
      </c>
      <c r="J57" t="str">
        <f>_xlfn.TRANSLATE(D57,"en","es")</f>
        <v>Los derechos de acceso se conceden más allá de lo necesario</v>
      </c>
      <c r="K57" s="15">
        <f>+VLOOKUP(L57,Exportados!$D:$E,2,0)</f>
        <v>22</v>
      </c>
      <c r="L57" t="str">
        <f>_xlfn.TRANSLATE(E57,"en","es")</f>
        <v>Instalación de software con intención maliciosa</v>
      </c>
    </row>
    <row r="58" spans="2:12" x14ac:dyDescent="0.45">
      <c r="B58" s="6" t="s">
        <v>100</v>
      </c>
      <c r="C58" s="14" t="s">
        <v>33</v>
      </c>
      <c r="D58" s="14" t="s">
        <v>102</v>
      </c>
      <c r="E58" s="15" t="s">
        <v>192</v>
      </c>
      <c r="F58" s="15"/>
      <c r="G58" s="15">
        <f>+VLOOKUP(H58,Exportados!$H:$I,2,0)</f>
        <v>31</v>
      </c>
      <c r="H58" t="str">
        <f>_xlfn.TRANSLATE(C58,"en","es")</f>
        <v>Diversas herramientas de software</v>
      </c>
      <c r="I58" s="15">
        <f>+VLOOKUP(J58,Exportados!$A:$B,2,0)</f>
        <v>1</v>
      </c>
      <c r="J58" t="str">
        <f>_xlfn.TRANSLATE(D58,"en","es")</f>
        <v>Los derechos de acceso se conceden más allá de lo necesario</v>
      </c>
      <c r="K58" s="15">
        <f>+VLOOKUP(L58,Exportados!$D:$E,2,0)</f>
        <v>47</v>
      </c>
      <c r="L58" t="str">
        <f>_xlfn.TRANSLATE(E58,"en","es")</f>
        <v>Uso de materiales licenciados con intención maliciosa</v>
      </c>
    </row>
    <row r="59" spans="2:12" ht="14.65" thickBot="1" x14ac:dyDescent="0.5">
      <c r="B59" s="2" t="s">
        <v>173</v>
      </c>
      <c r="C59" s="14" t="s">
        <v>33</v>
      </c>
      <c r="D59" s="14" t="s">
        <v>102</v>
      </c>
      <c r="E59" s="15" t="s">
        <v>193</v>
      </c>
      <c r="F59" s="15"/>
      <c r="G59" s="15">
        <f>+VLOOKUP(H59,Exportados!$H:$I,2,0)</f>
        <v>31</v>
      </c>
      <c r="H59" t="str">
        <f>_xlfn.TRANSLATE(C59,"en","es")</f>
        <v>Diversas herramientas de software</v>
      </c>
      <c r="I59" s="15">
        <f>+VLOOKUP(J59,Exportados!$A:$B,2,0)</f>
        <v>1</v>
      </c>
      <c r="J59" t="str">
        <f>_xlfn.TRANSLATE(D59,"en","es")</f>
        <v>Los derechos de acceso se conceden más allá de lo necesario</v>
      </c>
      <c r="K59" s="15">
        <f>+VLOOKUP(L59,Exportados!$D:$E,2,0)</f>
        <v>48</v>
      </c>
      <c r="L59" t="str">
        <f>_xlfn.TRANSLATE(E59,"en","es")</f>
        <v>Uso de código no autorizado o no probado con intención maliciosa</v>
      </c>
    </row>
    <row r="60" spans="2:12" ht="14.65" thickBot="1" x14ac:dyDescent="0.5">
      <c r="B60" s="3" t="s">
        <v>31</v>
      </c>
      <c r="C60" s="14" t="s">
        <v>33</v>
      </c>
      <c r="D60" s="14" t="s">
        <v>102</v>
      </c>
      <c r="E60" s="15" t="s">
        <v>194</v>
      </c>
      <c r="F60" s="15"/>
      <c r="G60" s="15">
        <f>+VLOOKUP(H60,Exportados!$H:$I,2,0)</f>
        <v>31</v>
      </c>
      <c r="H60" t="str">
        <f>_xlfn.TRANSLATE(C60,"en","es")</f>
        <v>Diversas herramientas de software</v>
      </c>
      <c r="I60" s="15">
        <f>+VLOOKUP(J60,Exportados!$A:$B,2,0)</f>
        <v>1</v>
      </c>
      <c r="J60" t="str">
        <f>_xlfn.TRANSLATE(D60,"en","es")</f>
        <v>Los derechos de acceso se conceden más allá de lo necesario</v>
      </c>
      <c r="K60" s="15">
        <f>+VLOOKUP(L60,Exportados!$D:$E,2,0)</f>
        <v>28</v>
      </c>
      <c r="L60" t="str">
        <f>_xlfn.TRANSLATE(E60,"en","es")</f>
        <v>Error malicioso del usuario</v>
      </c>
    </row>
    <row r="61" spans="2:12" x14ac:dyDescent="0.45">
      <c r="B61" s="1" t="s">
        <v>19</v>
      </c>
      <c r="C61" s="14" t="s">
        <v>33</v>
      </c>
      <c r="D61" s="14" t="s">
        <v>105</v>
      </c>
      <c r="E61" s="15" t="s">
        <v>179</v>
      </c>
      <c r="F61" s="15"/>
      <c r="G61" s="15">
        <f>+VLOOKUP(H61,Exportados!$H:$I,2,0)</f>
        <v>31</v>
      </c>
      <c r="H61" t="str">
        <f>_xlfn.TRANSLATE(C61,"en","es")</f>
        <v>Diversas herramientas de software</v>
      </c>
      <c r="I61" s="15">
        <f>+VLOOKUP(J61,Exportados!$A:$B,2,0)</f>
        <v>85</v>
      </c>
      <c r="J61" t="str">
        <f>_xlfn.TRANSLATE(D61,"en","es")</f>
        <v>Contraseñas débiles</v>
      </c>
      <c r="K61" s="15">
        <f>+VLOOKUP(L61,Exportados!$D:$E,2,0)</f>
        <v>17</v>
      </c>
      <c r="L61" t="str">
        <f>_xlfn.TRANSLATE(E61,"en","es")</f>
        <v>Uso inadecuado de sistemas o información informática</v>
      </c>
    </row>
    <row r="62" spans="2:12" x14ac:dyDescent="0.45">
      <c r="B62" s="5" t="s">
        <v>67</v>
      </c>
      <c r="C62" s="14" t="s">
        <v>33</v>
      </c>
      <c r="D62" s="14" t="s">
        <v>105</v>
      </c>
      <c r="E62" s="15" t="s">
        <v>195</v>
      </c>
      <c r="F62" s="15"/>
      <c r="G62" s="15">
        <f>+VLOOKUP(H62,Exportados!$H:$I,2,0)</f>
        <v>31</v>
      </c>
      <c r="H62" t="str">
        <f>_xlfn.TRANSLATE(C62,"en","es")</f>
        <v>Diversas herramientas de software</v>
      </c>
      <c r="I62" s="15">
        <f>+VLOOKUP(J62,Exportados!$A:$B,2,0)</f>
        <v>85</v>
      </c>
      <c r="J62" t="str">
        <f>_xlfn.TRANSLATE(D62,"en","es")</f>
        <v>Contraseñas débiles</v>
      </c>
      <c r="K62" s="15">
        <f>+VLOOKUP(L62,Exportados!$D:$E,2,0)</f>
        <v>18</v>
      </c>
      <c r="L62" t="str">
        <f>_xlfn.TRANSLATE(E62,"en","es")</f>
        <v>Manejo inapropiado de la información de autenticación (por ejemplo, contraseñas)</v>
      </c>
    </row>
    <row r="63" spans="2:12" x14ac:dyDescent="0.45">
      <c r="B63" s="1" t="s">
        <v>156</v>
      </c>
      <c r="C63" s="14" t="s">
        <v>33</v>
      </c>
      <c r="D63" s="14" t="s">
        <v>105</v>
      </c>
      <c r="E63" s="15" t="s">
        <v>187</v>
      </c>
      <c r="F63" s="15"/>
      <c r="G63" s="15">
        <f>+VLOOKUP(H63,Exportados!$H:$I,2,0)</f>
        <v>31</v>
      </c>
      <c r="H63" t="str">
        <f>_xlfn.TRANSLATE(C63,"en","es")</f>
        <v>Diversas herramientas de software</v>
      </c>
      <c r="I63" s="15">
        <f>+VLOOKUP(J63,Exportados!$A:$B,2,0)</f>
        <v>85</v>
      </c>
      <c r="J63" t="str">
        <f>_xlfn.TRANSLATE(D63,"en","es")</f>
        <v>Contraseñas débiles</v>
      </c>
      <c r="K63" s="15">
        <f>+VLOOKUP(L63,Exportados!$D:$E,2,0)</f>
        <v>37</v>
      </c>
      <c r="L63" t="str">
        <f>_xlfn.TRANSLATE(E63,"en","es")</f>
        <v>Uso, manipulación o destrucción no autorizada de software</v>
      </c>
    </row>
    <row r="64" spans="2:12" x14ac:dyDescent="0.45">
      <c r="B64" s="6" t="s">
        <v>33</v>
      </c>
      <c r="C64" s="14" t="s">
        <v>33</v>
      </c>
      <c r="D64" s="14" t="s">
        <v>105</v>
      </c>
      <c r="E64" s="15" t="s">
        <v>188</v>
      </c>
      <c r="F64" s="15"/>
      <c r="G64" s="15">
        <f>+VLOOKUP(H64,Exportados!$H:$I,2,0)</f>
        <v>31</v>
      </c>
      <c r="H64" t="str">
        <f>_xlfn.TRANSLATE(C64,"en","es")</f>
        <v>Diversas herramientas de software</v>
      </c>
      <c r="I64" s="15">
        <f>+VLOOKUP(J64,Exportados!$A:$B,2,0)</f>
        <v>85</v>
      </c>
      <c r="J64" t="str">
        <f>_xlfn.TRANSLATE(D64,"en","es")</f>
        <v>Contraseñas débiles</v>
      </c>
      <c r="K64" s="15">
        <f>+VLOOKUP(L64,Exportados!$D:$E,2,0)</f>
        <v>21</v>
      </c>
      <c r="L64" t="str">
        <f>_xlfn.TRANSLATE(E64,"en","es")</f>
        <v>Infección por software malicioso (por ejemplo, virus, troyano, etc.)</v>
      </c>
    </row>
    <row r="65" spans="2:12" x14ac:dyDescent="0.45">
      <c r="B65" s="6" t="s">
        <v>102</v>
      </c>
      <c r="C65" s="14" t="s">
        <v>33</v>
      </c>
      <c r="D65" s="14" t="s">
        <v>105</v>
      </c>
      <c r="E65" s="15" t="s">
        <v>170</v>
      </c>
      <c r="F65" s="15"/>
      <c r="G65" s="15">
        <f>+VLOOKUP(H65,Exportados!$H:$I,2,0)</f>
        <v>31</v>
      </c>
      <c r="H65" t="str">
        <f>_xlfn.TRANSLATE(C65,"en","es")</f>
        <v>Diversas herramientas de software</v>
      </c>
      <c r="I65" s="15">
        <f>+VLOOKUP(J65,Exportados!$A:$B,2,0)</f>
        <v>85</v>
      </c>
      <c r="J65" t="str">
        <f>_xlfn.TRANSLATE(D65,"en","es")</f>
        <v>Contraseñas débiles</v>
      </c>
      <c r="K65" s="15">
        <f>+VLOOKUP(L65,Exportados!$D:$E,2,0)</f>
        <v>7</v>
      </c>
      <c r="L65" t="str">
        <f>_xlfn.TRANSLATE(E65,"en","es")</f>
        <v>Ocultación de la identidad del usuario</v>
      </c>
    </row>
    <row r="66" spans="2:12" x14ac:dyDescent="0.45">
      <c r="B66" s="2" t="s">
        <v>177</v>
      </c>
      <c r="C66" s="14" t="s">
        <v>33</v>
      </c>
      <c r="D66" s="14" t="s">
        <v>105</v>
      </c>
      <c r="E66" s="15" t="s">
        <v>196</v>
      </c>
      <c r="F66" s="15"/>
      <c r="G66" s="15">
        <f>+VLOOKUP(H66,Exportados!$H:$I,2,0)</f>
        <v>31</v>
      </c>
      <c r="H66" t="str">
        <f>_xlfn.TRANSLATE(C66,"en","es")</f>
        <v>Diversas herramientas de software</v>
      </c>
      <c r="I66" s="15">
        <f>+VLOOKUP(J66,Exportados!$A:$B,2,0)</f>
        <v>85</v>
      </c>
      <c r="J66" t="str">
        <f>_xlfn.TRANSLATE(D66,"en","es")</f>
        <v>Contraseñas débiles</v>
      </c>
      <c r="K66" s="15">
        <f>+VLOOKUP(L66,Exportados!$D:$E,2,0)</f>
        <v>26</v>
      </c>
      <c r="L66" t="str">
        <f>_xlfn.TRANSLATE(E66,"en","es")</f>
        <v>Divulgación maliciosa de contraseñas</v>
      </c>
    </row>
    <row r="67" spans="2:12" x14ac:dyDescent="0.45">
      <c r="B67" s="2" t="s">
        <v>178</v>
      </c>
      <c r="C67" s="14" t="s">
        <v>33</v>
      </c>
      <c r="D67" s="14" t="s">
        <v>105</v>
      </c>
      <c r="E67" s="15" t="s">
        <v>190</v>
      </c>
      <c r="F67" s="15"/>
      <c r="G67" s="15">
        <f>+VLOOKUP(H67,Exportados!$H:$I,2,0)</f>
        <v>31</v>
      </c>
      <c r="H67" t="str">
        <f>_xlfn.TRANSLATE(C67,"en","es")</f>
        <v>Diversas herramientas de software</v>
      </c>
      <c r="I67" s="15">
        <f>+VLOOKUP(J67,Exportados!$A:$B,2,0)</f>
        <v>85</v>
      </c>
      <c r="J67" t="str">
        <f>_xlfn.TRANSLATE(D67,"en","es")</f>
        <v>Contraseñas débiles</v>
      </c>
      <c r="K67" s="15">
        <f>+VLOOKUP(L67,Exportados!$D:$E,2,0)</f>
        <v>1</v>
      </c>
      <c r="L67" t="str">
        <f>_xlfn.TRANSLATE(E67,"en","es")</f>
        <v>Sistema de acceso a la información con intención maliciosa</v>
      </c>
    </row>
    <row r="68" spans="2:12" x14ac:dyDescent="0.45">
      <c r="B68" s="2" t="s">
        <v>179</v>
      </c>
      <c r="C68" s="14" t="s">
        <v>33</v>
      </c>
      <c r="D68" s="14" t="s">
        <v>116</v>
      </c>
      <c r="E68" s="15" t="s">
        <v>187</v>
      </c>
      <c r="F68" s="15"/>
      <c r="G68" s="15">
        <f>+VLOOKUP(H68,Exportados!$H:$I,2,0)</f>
        <v>31</v>
      </c>
      <c r="H68" t="str">
        <f>_xlfn.TRANSLATE(C68,"en","es")</f>
        <v>Diversas herramientas de software</v>
      </c>
      <c r="I68" s="15">
        <f>+VLOOKUP(J68,Exportados!$A:$B,2,0)</f>
        <v>30</v>
      </c>
      <c r="J68" t="str">
        <f>_xlfn.TRANSLATE(D68,"en","es")</f>
        <v>Falta de software antivirus o no actualizado</v>
      </c>
      <c r="K68" s="15">
        <f>+VLOOKUP(L68,Exportados!$D:$E,2,0)</f>
        <v>37</v>
      </c>
      <c r="L68" t="str">
        <f>_xlfn.TRANSLATE(E68,"en","es")</f>
        <v>Uso, manipulación o destrucción no autorizada de software</v>
      </c>
    </row>
    <row r="69" spans="2:12" x14ac:dyDescent="0.45">
      <c r="B69" s="2" t="s">
        <v>180</v>
      </c>
      <c r="C69" s="14" t="s">
        <v>33</v>
      </c>
      <c r="D69" s="14" t="s">
        <v>116</v>
      </c>
      <c r="E69" s="15" t="s">
        <v>188</v>
      </c>
      <c r="F69" s="15"/>
      <c r="G69" s="15">
        <f>+VLOOKUP(H69,Exportados!$H:$I,2,0)</f>
        <v>31</v>
      </c>
      <c r="H69" t="str">
        <f>_xlfn.TRANSLATE(C69,"en","es")</f>
        <v>Diversas herramientas de software</v>
      </c>
      <c r="I69" s="15">
        <f>+VLOOKUP(J69,Exportados!$A:$B,2,0)</f>
        <v>30</v>
      </c>
      <c r="J69" t="str">
        <f>_xlfn.TRANSLATE(D69,"en","es")</f>
        <v>Falta de software antivirus o no actualizado</v>
      </c>
      <c r="K69" s="15">
        <f>+VLOOKUP(L69,Exportados!$D:$E,2,0)</f>
        <v>21</v>
      </c>
      <c r="L69" t="str">
        <f>_xlfn.TRANSLATE(E69,"en","es")</f>
        <v>Infección por software malicioso (por ejemplo, virus, troyano, etc.)</v>
      </c>
    </row>
    <row r="70" spans="2:12" x14ac:dyDescent="0.45">
      <c r="B70" s="2" t="s">
        <v>181</v>
      </c>
      <c r="C70" s="14" t="s">
        <v>33</v>
      </c>
      <c r="D70" s="14" t="s">
        <v>116</v>
      </c>
      <c r="E70" s="15" t="s">
        <v>171</v>
      </c>
      <c r="F70" s="15"/>
      <c r="G70" s="15">
        <f>+VLOOKUP(H70,Exportados!$H:$I,2,0)</f>
        <v>31</v>
      </c>
      <c r="H70" t="str">
        <f>_xlfn.TRANSLATE(C70,"en","es")</f>
        <v>Diversas herramientas de software</v>
      </c>
      <c r="I70" s="15">
        <f>+VLOOKUP(J70,Exportados!$A:$B,2,0)</f>
        <v>30</v>
      </c>
      <c r="J70" t="str">
        <f>_xlfn.TRANSLATE(D70,"en","es")</f>
        <v>Falta de software antivirus o no actualizado</v>
      </c>
      <c r="K70" s="15">
        <f>+VLOOKUP(L70,Exportados!$D:$E,2,0)</f>
        <v>11</v>
      </c>
      <c r="L70" t="str">
        <f>_xlfn.TRANSLATE(E70,"en","es")</f>
        <v>Escuchar a escondidas.</v>
      </c>
    </row>
    <row r="71" spans="2:12" x14ac:dyDescent="0.45">
      <c r="B71" s="2" t="s">
        <v>182</v>
      </c>
      <c r="C71" s="14" t="s">
        <v>33</v>
      </c>
      <c r="D71" s="14" t="s">
        <v>116</v>
      </c>
      <c r="E71" s="15" t="s">
        <v>197</v>
      </c>
      <c r="F71" s="15"/>
      <c r="G71" s="15">
        <f>+VLOOKUP(H71,Exportados!$H:$I,2,0)</f>
        <v>31</v>
      </c>
      <c r="H71" t="str">
        <f>_xlfn.TRANSLATE(C71,"en","es")</f>
        <v>Diversas herramientas de software</v>
      </c>
      <c r="I71" s="15">
        <f>+VLOOKUP(J71,Exportados!$A:$B,2,0)</f>
        <v>30</v>
      </c>
      <c r="J71" t="str">
        <f>_xlfn.TRANSLATE(D71,"en","es")</f>
        <v>Falta de software antivirus o no actualizado</v>
      </c>
      <c r="K71" s="15">
        <f>+VLOOKUP(L71,Exportados!$D:$E,2,0)</f>
        <v>2</v>
      </c>
      <c r="L71" t="str">
        <f>_xlfn.TRANSLATE(E71,"en","es")</f>
        <v>Error de aplicación</v>
      </c>
    </row>
    <row r="72" spans="2:12" x14ac:dyDescent="0.45">
      <c r="B72" s="2" t="s">
        <v>183</v>
      </c>
      <c r="C72" s="6" t="s">
        <v>35</v>
      </c>
      <c r="D72" s="6" t="s">
        <v>103</v>
      </c>
      <c r="E72" s="2" t="s">
        <v>197</v>
      </c>
      <c r="F72" s="15"/>
      <c r="G72" s="15">
        <f>+VLOOKUP(H72,Exportados!$H:$I,2,0)</f>
        <v>33</v>
      </c>
      <c r="H72" t="str">
        <f>_xlfn.TRANSLATE(C72,"en","es")</f>
        <v>Sistemas operativos</v>
      </c>
      <c r="I72" s="15">
        <f>+VLOOKUP(J72,Exportados!$A:$B,2,0)</f>
        <v>39</v>
      </c>
      <c r="J72" t="str">
        <f>_xlfn.TRANSLATE(D72,"en","es")</f>
        <v>Falta de pruebas de mensajes enviados o recibidos</v>
      </c>
      <c r="K72" s="15">
        <f>+VLOOKUP(L72,Exportados!$D:$E,2,0)</f>
        <v>2</v>
      </c>
      <c r="L72" t="str">
        <f>_xlfn.TRANSLATE(E72,"en","es")</f>
        <v>Error de aplicación</v>
      </c>
    </row>
    <row r="73" spans="2:12" x14ac:dyDescent="0.45">
      <c r="B73" s="2" t="s">
        <v>184</v>
      </c>
      <c r="C73" s="6" t="s">
        <v>35</v>
      </c>
      <c r="D73" s="6" t="s">
        <v>106</v>
      </c>
      <c r="E73" s="2" t="s">
        <v>177</v>
      </c>
      <c r="F73" s="15"/>
      <c r="G73" s="15">
        <f>+VLOOKUP(H73,Exportados!$H:$I,2,0)</f>
        <v>33</v>
      </c>
      <c r="H73" t="str">
        <f>_xlfn.TRANSLATE(C73,"en","es")</f>
        <v>Sistemas operativos</v>
      </c>
      <c r="I73" s="15">
        <f>+VLOOKUP(J73,Exportados!$A:$B,2,0)</f>
        <v>44</v>
      </c>
      <c r="J73" t="str">
        <f>_xlfn.TRANSLATE(D73,"en","es")</f>
        <v>Falta de validación para los datos procesados</v>
      </c>
      <c r="K73" s="15">
        <f>+VLOOKUP(L73,Exportados!$D:$E,2,0)</f>
        <v>4</v>
      </c>
      <c r="L73" t="str">
        <f>_xlfn.TRANSLATE(E73,"en","es")</f>
        <v>Incumplimiento de contratos o acuerdos</v>
      </c>
    </row>
    <row r="74" spans="2:12" x14ac:dyDescent="0.45">
      <c r="B74" s="2" t="s">
        <v>185</v>
      </c>
      <c r="C74" s="6" t="s">
        <v>35</v>
      </c>
      <c r="D74" s="6" t="s">
        <v>106</v>
      </c>
      <c r="E74" s="2" t="s">
        <v>180</v>
      </c>
      <c r="F74" s="15"/>
      <c r="G74" s="15">
        <f>+VLOOKUP(H74,Exportados!$H:$I,2,0)</f>
        <v>33</v>
      </c>
      <c r="H74" t="str">
        <f>_xlfn.TRANSLATE(C74,"en","es")</f>
        <v>Sistemas operativos</v>
      </c>
      <c r="I74" s="15">
        <f>+VLOOKUP(J74,Exportados!$A:$B,2,0)</f>
        <v>44</v>
      </c>
      <c r="J74" t="str">
        <f>_xlfn.TRANSLATE(D74,"en","es")</f>
        <v>Falta de validación para los datos procesados</v>
      </c>
      <c r="K74" s="15">
        <f>+VLOOKUP(L74,Exportados!$D:$E,2,0)</f>
        <v>40</v>
      </c>
      <c r="L74" t="str">
        <f>_xlfn.TRANSLATE(E74,"en","es")</f>
        <v>Cambio no intencionado de datos en un sistema de información</v>
      </c>
    </row>
    <row r="75" spans="2:12" x14ac:dyDescent="0.45">
      <c r="B75" s="2" t="s">
        <v>186</v>
      </c>
      <c r="C75" s="6" t="s">
        <v>35</v>
      </c>
      <c r="D75" s="6" t="s">
        <v>106</v>
      </c>
      <c r="E75" s="2" t="s">
        <v>194</v>
      </c>
      <c r="F75" s="15"/>
      <c r="G75" s="15">
        <f>+VLOOKUP(H75,Exportados!$H:$I,2,0)</f>
        <v>33</v>
      </c>
      <c r="H75" t="str">
        <f>_xlfn.TRANSLATE(C75,"en","es")</f>
        <v>Sistemas operativos</v>
      </c>
      <c r="I75" s="15">
        <f>+VLOOKUP(J75,Exportados!$A:$B,2,0)</f>
        <v>44</v>
      </c>
      <c r="J75" t="str">
        <f>_xlfn.TRANSLATE(D75,"en","es")</f>
        <v>Falta de validación para los datos procesados</v>
      </c>
      <c r="K75" s="15">
        <f>+VLOOKUP(L75,Exportados!$D:$E,2,0)</f>
        <v>28</v>
      </c>
      <c r="L75" t="str">
        <f>_xlfn.TRANSLATE(E75,"en","es")</f>
        <v>Error malicioso del usuario</v>
      </c>
    </row>
    <row r="76" spans="2:12" x14ac:dyDescent="0.45">
      <c r="B76" s="2" t="s">
        <v>187</v>
      </c>
      <c r="C76" s="6" t="s">
        <v>35</v>
      </c>
      <c r="D76" s="6" t="s">
        <v>106</v>
      </c>
      <c r="E76" s="2" t="s">
        <v>197</v>
      </c>
      <c r="F76" s="15"/>
      <c r="G76" s="15">
        <f>+VLOOKUP(H76,Exportados!$H:$I,2,0)</f>
        <v>33</v>
      </c>
      <c r="H76" t="str">
        <f>_xlfn.TRANSLATE(C76,"en","es")</f>
        <v>Sistemas operativos</v>
      </c>
      <c r="I76" s="15">
        <f>+VLOOKUP(J76,Exportados!$A:$B,2,0)</f>
        <v>44</v>
      </c>
      <c r="J76" t="str">
        <f>_xlfn.TRANSLATE(D76,"en","es")</f>
        <v>Falta de validación para los datos procesados</v>
      </c>
      <c r="K76" s="15">
        <f>+VLOOKUP(L76,Exportados!$D:$E,2,0)</f>
        <v>2</v>
      </c>
      <c r="L76" t="str">
        <f>_xlfn.TRANSLATE(E76,"en","es")</f>
        <v>Error de aplicación</v>
      </c>
    </row>
    <row r="77" spans="2:12" ht="18.75" x14ac:dyDescent="0.45">
      <c r="B77" s="2" t="s">
        <v>188</v>
      </c>
      <c r="C77" s="6" t="s">
        <v>43</v>
      </c>
      <c r="D77" s="6" t="s">
        <v>124</v>
      </c>
      <c r="E77" s="2" t="s">
        <v>177</v>
      </c>
      <c r="F77" s="15"/>
      <c r="G77" s="15">
        <f>+VLOOKUP(H77,Exportados!$H:$I,2,0)</f>
        <v>40</v>
      </c>
      <c r="H77" t="str">
        <f>_xlfn.TRANSLATE(C77,"en","es")</f>
        <v>Datos personales (por ejemplo, de empleados o clientes)</v>
      </c>
      <c r="I77" s="15">
        <f>+VLOOKUP(J77,Exportados!$A:$B,2,0)</f>
        <v>87</v>
      </c>
      <c r="J77" t="str">
        <f>_xlfn.TRANSLATE(D77,"en","es")</f>
        <v>Comprensión errónea sobre la sensibilidad de la información</v>
      </c>
      <c r="K77" s="15">
        <f>+VLOOKUP(L77,Exportados!$D:$E,2,0)</f>
        <v>4</v>
      </c>
      <c r="L77" t="str">
        <f>_xlfn.TRANSLATE(E77,"en","es")</f>
        <v>Incumplimiento de contratos o acuerdos</v>
      </c>
    </row>
    <row r="78" spans="2:12" ht="18.75" x14ac:dyDescent="0.45">
      <c r="B78" s="2" t="s">
        <v>189</v>
      </c>
      <c r="C78" s="6" t="s">
        <v>43</v>
      </c>
      <c r="D78" s="6" t="s">
        <v>124</v>
      </c>
      <c r="E78" s="2" t="s">
        <v>178</v>
      </c>
      <c r="F78" s="15"/>
      <c r="G78" s="15">
        <f>+VLOOKUP(H78,Exportados!$H:$I,2,0)</f>
        <v>40</v>
      </c>
      <c r="H78" t="str">
        <f>_xlfn.TRANSLATE(C78,"en","es")</f>
        <v>Datos personales (por ejemplo, de empleados o clientes)</v>
      </c>
      <c r="I78" s="15">
        <f>+VLOOKUP(J78,Exportados!$A:$B,2,0)</f>
        <v>87</v>
      </c>
      <c r="J78" t="str">
        <f>_xlfn.TRANSLATE(D78,"en","es")</f>
        <v>Comprensión errónea sobre la sensibilidad de la información</v>
      </c>
      <c r="K78" s="15">
        <f>+VLOOKUP(L78,Exportados!$D:$E,2,0)</f>
        <v>5</v>
      </c>
      <c r="L78" t="str">
        <f>_xlfn.TRANSLATE(E78,"en","es")</f>
        <v>Incumplimiento de leyes o reglamentos</v>
      </c>
    </row>
    <row r="79" spans="2:12" ht="18.75" x14ac:dyDescent="0.45">
      <c r="B79" s="2" t="s">
        <v>190</v>
      </c>
      <c r="C79" s="6" t="s">
        <v>43</v>
      </c>
      <c r="D79" s="6" t="s">
        <v>124</v>
      </c>
      <c r="E79" s="2" t="s">
        <v>198</v>
      </c>
      <c r="F79" s="15"/>
      <c r="G79" s="15">
        <f>+VLOOKUP(H79,Exportados!$H:$I,2,0)</f>
        <v>40</v>
      </c>
      <c r="H79" t="str">
        <f>_xlfn.TRANSLATE(C79,"en","es")</f>
        <v>Datos personales (por ejemplo, de empleados o clientes)</v>
      </c>
      <c r="I79" s="15">
        <f>+VLOOKUP(J79,Exportados!$A:$B,2,0)</f>
        <v>87</v>
      </c>
      <c r="J79" t="str">
        <f>_xlfn.TRANSLATE(D79,"en","es")</f>
        <v>Comprensión errónea sobre la sensibilidad de la información</v>
      </c>
      <c r="K79" s="15">
        <f>+VLOOKUP(L79,Exportados!$D:$E,2,0)</f>
        <v>42</v>
      </c>
      <c r="L79" t="str">
        <f>_xlfn.TRANSLATE(E79,"en","es")</f>
        <v>Divulgación no intencionada de datos / información</v>
      </c>
    </row>
    <row r="80" spans="2:12" ht="18.75" x14ac:dyDescent="0.45">
      <c r="B80" s="2" t="s">
        <v>191</v>
      </c>
      <c r="C80" s="6" t="s">
        <v>43</v>
      </c>
      <c r="D80" s="6" t="s">
        <v>124</v>
      </c>
      <c r="E80" s="2" t="s">
        <v>179</v>
      </c>
      <c r="F80" s="15"/>
      <c r="G80" s="15">
        <f>+VLOOKUP(H80,Exportados!$H:$I,2,0)</f>
        <v>40</v>
      </c>
      <c r="H80" t="str">
        <f>_xlfn.TRANSLATE(C80,"en","es")</f>
        <v>Datos personales (por ejemplo, de empleados o clientes)</v>
      </c>
      <c r="I80" s="15">
        <f>+VLOOKUP(J80,Exportados!$A:$B,2,0)</f>
        <v>87</v>
      </c>
      <c r="J80" t="str">
        <f>_xlfn.TRANSLATE(D80,"en","es")</f>
        <v>Comprensión errónea sobre la sensibilidad de la información</v>
      </c>
      <c r="K80" s="15">
        <f>+VLOOKUP(L80,Exportados!$D:$E,2,0)</f>
        <v>17</v>
      </c>
      <c r="L80" t="str">
        <f>_xlfn.TRANSLATE(E80,"en","es")</f>
        <v>Uso inadecuado de sistemas o información informática</v>
      </c>
    </row>
    <row r="81" spans="2:12" ht="18.75" x14ac:dyDescent="0.45">
      <c r="B81" s="2" t="s">
        <v>192</v>
      </c>
      <c r="C81" s="6" t="s">
        <v>43</v>
      </c>
      <c r="D81" s="6" t="s">
        <v>124</v>
      </c>
      <c r="E81" s="2" t="s">
        <v>180</v>
      </c>
      <c r="F81" s="15"/>
      <c r="G81" s="15">
        <f>+VLOOKUP(H81,Exportados!$H:$I,2,0)</f>
        <v>40</v>
      </c>
      <c r="H81" t="str">
        <f>_xlfn.TRANSLATE(C81,"en","es")</f>
        <v>Datos personales (por ejemplo, de empleados o clientes)</v>
      </c>
      <c r="I81" s="15">
        <f>+VLOOKUP(J81,Exportados!$A:$B,2,0)</f>
        <v>87</v>
      </c>
      <c r="J81" t="str">
        <f>_xlfn.TRANSLATE(D81,"en","es")</f>
        <v>Comprensión errónea sobre la sensibilidad de la información</v>
      </c>
      <c r="K81" s="15">
        <f>+VLOOKUP(L81,Exportados!$D:$E,2,0)</f>
        <v>40</v>
      </c>
      <c r="L81" t="str">
        <f>_xlfn.TRANSLATE(E81,"en","es")</f>
        <v>Cambio no intencionado de datos en un sistema de información</v>
      </c>
    </row>
    <row r="82" spans="2:12" ht="18.75" x14ac:dyDescent="0.45">
      <c r="B82" s="2" t="s">
        <v>193</v>
      </c>
      <c r="C82" s="6" t="s">
        <v>43</v>
      </c>
      <c r="D82" s="6" t="s">
        <v>124</v>
      </c>
      <c r="E82" s="2" t="s">
        <v>199</v>
      </c>
      <c r="F82" s="15"/>
      <c r="G82" s="15">
        <f>+VLOOKUP(H82,Exportados!$H:$I,2,0)</f>
        <v>40</v>
      </c>
      <c r="H82" t="str">
        <f>_xlfn.TRANSLATE(C82,"en","es")</f>
        <v>Datos personales (por ejemplo, de empleados o clientes)</v>
      </c>
      <c r="I82" s="15">
        <f>+VLOOKUP(J82,Exportados!$A:$B,2,0)</f>
        <v>87</v>
      </c>
      <c r="J82" t="str">
        <f>_xlfn.TRANSLATE(D82,"en","es")</f>
        <v>Comprensión errónea sobre la sensibilidad de la información</v>
      </c>
      <c r="K82" s="15">
        <f>+VLOOKUP(L82,Exportados!$D:$E,2,0)</f>
        <v>20</v>
      </c>
      <c r="L82" t="str">
        <f>_xlfn.TRANSLATE(E82,"en","es")</f>
        <v>Espionaje industrial</v>
      </c>
    </row>
    <row r="83" spans="2:12" ht="18.75" x14ac:dyDescent="0.45">
      <c r="B83" s="2" t="s">
        <v>194</v>
      </c>
      <c r="C83" s="6" t="s">
        <v>43</v>
      </c>
      <c r="D83" s="6" t="s">
        <v>125</v>
      </c>
      <c r="E83" s="2" t="s">
        <v>177</v>
      </c>
      <c r="F83" s="15"/>
      <c r="G83" s="15">
        <f>+VLOOKUP(H83,Exportados!$H:$I,2,0)</f>
        <v>40</v>
      </c>
      <c r="H83" t="str">
        <f>_xlfn.TRANSLATE(C83,"en","es")</f>
        <v>Datos personales (por ejemplo, de empleados o clientes)</v>
      </c>
      <c r="I83" s="15">
        <f>+VLOOKUP(J83,Exportados!$A:$B,2,0)</f>
        <v>79</v>
      </c>
      <c r="J83" t="str">
        <f>_xlfn.TRANSLATE(D83,"en","es")</f>
        <v>Copia incontrolada de documentos y datos</v>
      </c>
      <c r="K83" s="15">
        <f>+VLOOKUP(L83,Exportados!$D:$E,2,0)</f>
        <v>4</v>
      </c>
      <c r="L83" t="str">
        <f>_xlfn.TRANSLATE(E83,"en","es")</f>
        <v>Incumplimiento de contratos o acuerdos</v>
      </c>
    </row>
    <row r="84" spans="2:12" ht="18.75" x14ac:dyDescent="0.45">
      <c r="B84" s="6" t="s">
        <v>105</v>
      </c>
      <c r="C84" s="6" t="s">
        <v>43</v>
      </c>
      <c r="D84" s="6" t="s">
        <v>125</v>
      </c>
      <c r="E84" s="2" t="s">
        <v>178</v>
      </c>
      <c r="F84" s="15"/>
      <c r="G84" s="15">
        <f>+VLOOKUP(H84,Exportados!$H:$I,2,0)</f>
        <v>40</v>
      </c>
      <c r="H84" t="str">
        <f>_xlfn.TRANSLATE(C84,"en","es")</f>
        <v>Datos personales (por ejemplo, de empleados o clientes)</v>
      </c>
      <c r="I84" s="15">
        <f>+VLOOKUP(J84,Exportados!$A:$B,2,0)</f>
        <v>79</v>
      </c>
      <c r="J84" t="str">
        <f>_xlfn.TRANSLATE(D84,"en","es")</f>
        <v>Copia incontrolada de documentos y datos</v>
      </c>
      <c r="K84" s="15">
        <f>+VLOOKUP(L84,Exportados!$D:$E,2,0)</f>
        <v>5</v>
      </c>
      <c r="L84" t="str">
        <f>_xlfn.TRANSLATE(E84,"en","es")</f>
        <v>Incumplimiento de leyes o reglamentos</v>
      </c>
    </row>
    <row r="85" spans="2:12" ht="18.75" x14ac:dyDescent="0.45">
      <c r="B85" s="2" t="s">
        <v>179</v>
      </c>
      <c r="C85" s="6" t="s">
        <v>43</v>
      </c>
      <c r="D85" s="6" t="s">
        <v>125</v>
      </c>
      <c r="E85" s="2" t="s">
        <v>198</v>
      </c>
      <c r="F85" s="15"/>
      <c r="G85" s="15">
        <f>+VLOOKUP(H85,Exportados!$H:$I,2,0)</f>
        <v>40</v>
      </c>
      <c r="H85" t="str">
        <f>_xlfn.TRANSLATE(C85,"en","es")</f>
        <v>Datos personales (por ejemplo, de empleados o clientes)</v>
      </c>
      <c r="I85" s="15">
        <f>+VLOOKUP(J85,Exportados!$A:$B,2,0)</f>
        <v>79</v>
      </c>
      <c r="J85" t="str">
        <f>_xlfn.TRANSLATE(D85,"en","es")</f>
        <v>Copia incontrolada de documentos y datos</v>
      </c>
      <c r="K85" s="15">
        <f>+VLOOKUP(L85,Exportados!$D:$E,2,0)</f>
        <v>42</v>
      </c>
      <c r="L85" t="str">
        <f>_xlfn.TRANSLATE(E85,"en","es")</f>
        <v>Divulgación no intencionada de datos / información</v>
      </c>
    </row>
    <row r="86" spans="2:12" ht="18.75" x14ac:dyDescent="0.45">
      <c r="B86" s="2" t="s">
        <v>195</v>
      </c>
      <c r="C86" s="6" t="s">
        <v>43</v>
      </c>
      <c r="D86" s="6" t="s">
        <v>125</v>
      </c>
      <c r="E86" s="2" t="s">
        <v>179</v>
      </c>
      <c r="F86" s="15"/>
      <c r="G86" s="15">
        <f>+VLOOKUP(H86,Exportados!$H:$I,2,0)</f>
        <v>40</v>
      </c>
      <c r="H86" t="str">
        <f>_xlfn.TRANSLATE(C86,"en","es")</f>
        <v>Datos personales (por ejemplo, de empleados o clientes)</v>
      </c>
      <c r="I86" s="15">
        <f>+VLOOKUP(J86,Exportados!$A:$B,2,0)</f>
        <v>79</v>
      </c>
      <c r="J86" t="str">
        <f>_xlfn.TRANSLATE(D86,"en","es")</f>
        <v>Copia incontrolada de documentos y datos</v>
      </c>
      <c r="K86" s="15">
        <f>+VLOOKUP(L86,Exportados!$D:$E,2,0)</f>
        <v>17</v>
      </c>
      <c r="L86" t="str">
        <f>_xlfn.TRANSLATE(E86,"en","es")</f>
        <v>Uso inadecuado de sistemas o información informática</v>
      </c>
    </row>
    <row r="87" spans="2:12" ht="18.75" x14ac:dyDescent="0.45">
      <c r="B87" s="2" t="s">
        <v>187</v>
      </c>
      <c r="C87" s="6" t="s">
        <v>43</v>
      </c>
      <c r="D87" s="6" t="s">
        <v>125</v>
      </c>
      <c r="E87" s="2" t="s">
        <v>200</v>
      </c>
      <c r="F87" s="15"/>
      <c r="G87" s="15">
        <f>+VLOOKUP(H87,Exportados!$H:$I,2,0)</f>
        <v>40</v>
      </c>
      <c r="H87" t="str">
        <f>_xlfn.TRANSLATE(C87,"en","es")</f>
        <v>Datos personales (por ejemplo, de empleados o clientes)</v>
      </c>
      <c r="I87" s="15">
        <f>+VLOOKUP(J87,Exportados!$A:$B,2,0)</f>
        <v>79</v>
      </c>
      <c r="J87" t="str">
        <f>_xlfn.TRANSLATE(D87,"en","es")</f>
        <v>Copia incontrolada de documentos y datos</v>
      </c>
      <c r="K87" s="15">
        <f>+VLOOKUP(L87,Exportados!$D:$E,2,0)</f>
        <v>39</v>
      </c>
      <c r="L87" t="str">
        <f>_xlfn.TRANSLATE(E87,"en","es")</f>
        <v>Acceso no intencionado a datos físicos</v>
      </c>
    </row>
    <row r="88" spans="2:12" ht="18.75" x14ac:dyDescent="0.45">
      <c r="B88" s="2" t="s">
        <v>188</v>
      </c>
      <c r="C88" s="6" t="s">
        <v>43</v>
      </c>
      <c r="D88" s="6" t="s">
        <v>125</v>
      </c>
      <c r="E88" s="2" t="s">
        <v>201</v>
      </c>
      <c r="F88" s="15"/>
      <c r="G88" s="15">
        <f>+VLOOKUP(H88,Exportados!$H:$I,2,0)</f>
        <v>40</v>
      </c>
      <c r="H88" t="str">
        <f>_xlfn.TRANSLATE(C88,"en","es")</f>
        <v>Datos personales (por ejemplo, de empleados o clientes)</v>
      </c>
      <c r="I88" s="15">
        <f>+VLOOKUP(J88,Exportados!$A:$B,2,0)</f>
        <v>79</v>
      </c>
      <c r="J88" t="str">
        <f>_xlfn.TRANSLATE(D88,"en","es")</f>
        <v>Copia incontrolada de documentos y datos</v>
      </c>
      <c r="K88" s="15">
        <f>+VLOOKUP(L88,Exportados!$D:$E,2,0)</f>
        <v>8</v>
      </c>
      <c r="L88" t="str">
        <f>_xlfn.TRANSLATE(E88,"en","es")</f>
        <v>Robo de datos / información</v>
      </c>
    </row>
    <row r="89" spans="2:12" ht="18.75" x14ac:dyDescent="0.45">
      <c r="B89" s="2" t="s">
        <v>170</v>
      </c>
      <c r="C89" s="6" t="s">
        <v>43</v>
      </c>
      <c r="D89" s="6" t="s">
        <v>125</v>
      </c>
      <c r="E89" s="2" t="s">
        <v>199</v>
      </c>
      <c r="F89" s="15"/>
      <c r="G89" s="15">
        <f>+VLOOKUP(H89,Exportados!$H:$I,2,0)</f>
        <v>40</v>
      </c>
      <c r="H89" t="str">
        <f>_xlfn.TRANSLATE(C89,"en","es")</f>
        <v>Datos personales (por ejemplo, de empleados o clientes)</v>
      </c>
      <c r="I89" s="15">
        <f>+VLOOKUP(J89,Exportados!$A:$B,2,0)</f>
        <v>79</v>
      </c>
      <c r="J89" t="str">
        <f>_xlfn.TRANSLATE(D89,"en","es")</f>
        <v>Copia incontrolada de documentos y datos</v>
      </c>
      <c r="K89" s="15">
        <f>+VLOOKUP(L89,Exportados!$D:$E,2,0)</f>
        <v>20</v>
      </c>
      <c r="L89" t="str">
        <f>_xlfn.TRANSLATE(E89,"en","es")</f>
        <v>Espionaje industrial</v>
      </c>
    </row>
    <row r="90" spans="2:12" ht="18.75" x14ac:dyDescent="0.45">
      <c r="B90" s="2" t="s">
        <v>196</v>
      </c>
      <c r="C90" s="6" t="s">
        <v>43</v>
      </c>
      <c r="D90" s="6" t="s">
        <v>125</v>
      </c>
      <c r="E90" s="2" t="s">
        <v>202</v>
      </c>
      <c r="F90" s="15"/>
      <c r="G90" s="15">
        <f>+VLOOKUP(H90,Exportados!$H:$I,2,0)</f>
        <v>40</v>
      </c>
      <c r="H90" t="str">
        <f>_xlfn.TRANSLATE(C90,"en","es")</f>
        <v>Datos personales (por ejemplo, de empleados o clientes)</v>
      </c>
      <c r="I90" s="15">
        <f>+VLOOKUP(J90,Exportados!$A:$B,2,0)</f>
        <v>79</v>
      </c>
      <c r="J90" t="str">
        <f>_xlfn.TRANSLATE(D90,"en","es")</f>
        <v>Copia incontrolada de documentos y datos</v>
      </c>
      <c r="K90" s="15">
        <f>+VLOOKUP(L90,Exportados!$D:$E,2,0)</f>
        <v>27</v>
      </c>
      <c r="L90" t="str">
        <f>_xlfn.TRANSLATE(E90,"en","es")</f>
        <v>Filtración/divulgación maliciosa de información</v>
      </c>
    </row>
    <row r="91" spans="2:12" x14ac:dyDescent="0.45">
      <c r="B91" s="2" t="s">
        <v>190</v>
      </c>
      <c r="C91" s="6" t="s">
        <v>52</v>
      </c>
      <c r="D91" s="6" t="s">
        <v>134</v>
      </c>
      <c r="E91" s="2" t="s">
        <v>199</v>
      </c>
      <c r="F91" s="15"/>
      <c r="G91" s="15">
        <f>+VLOOKUP(H91,Exportados!$H:$I,2,0)</f>
        <v>48</v>
      </c>
      <c r="H91" t="str">
        <f>_xlfn.TRANSLATE(C91,"en","es")</f>
        <v>Empleados remotos</v>
      </c>
      <c r="I91" s="15">
        <f>+VLOOKUP(J91,Exportados!$A:$B,2,0)</f>
        <v>62</v>
      </c>
      <c r="J91" t="str">
        <f>_xlfn.TRANSLATE(D91,"en","es")</f>
        <v>Normas sobre cómo manejar información no claramente definidas</v>
      </c>
      <c r="K91" s="15">
        <f>+VLOOKUP(L91,Exportados!$D:$E,2,0)</f>
        <v>20</v>
      </c>
      <c r="L91" t="str">
        <f>_xlfn.TRANSLATE(E91,"en","es")</f>
        <v>Espionaje industrial</v>
      </c>
    </row>
    <row r="92" spans="2:12" ht="18.75" x14ac:dyDescent="0.45">
      <c r="B92" s="6" t="s">
        <v>116</v>
      </c>
      <c r="C92" s="6" t="s">
        <v>58</v>
      </c>
      <c r="D92" s="6" t="s">
        <v>141</v>
      </c>
      <c r="E92" s="2" t="s">
        <v>203</v>
      </c>
      <c r="F92" s="15"/>
      <c r="G92" s="15">
        <f>+VLOOKUP(H92,Exportados!$H:$I,2,0)</f>
        <v>53</v>
      </c>
      <c r="H92" t="str">
        <f>_xlfn.TRANSLATE(C92,"en","es")</f>
        <v>Personal externalizado (por ejemplo, autónomos o contratistas)</v>
      </c>
      <c r="I92" s="15">
        <f>+VLOOKUP(J92,Exportados!$A:$B,2,0)</f>
        <v>24</v>
      </c>
      <c r="J92" t="str">
        <f>_xlfn.TRANSLATE(D92,"en","es")</f>
        <v>Supervisión inadecuada de proveedores externos</v>
      </c>
      <c r="K92" s="15">
        <f>+VLOOKUP(L92,Exportados!$D:$E,2,0)</f>
        <v>14</v>
      </c>
      <c r="L92" t="str">
        <f>_xlfn.TRANSLATE(E92,"en","es")</f>
        <v>Errores o interrupciones del servicio de proveedores externos</v>
      </c>
    </row>
    <row r="93" spans="2:12" ht="18.75" x14ac:dyDescent="0.45">
      <c r="B93" s="2" t="s">
        <v>187</v>
      </c>
      <c r="C93" s="6" t="s">
        <v>58</v>
      </c>
      <c r="D93" s="6" t="s">
        <v>145</v>
      </c>
      <c r="E93" s="2" t="s">
        <v>203</v>
      </c>
      <c r="F93" s="15"/>
      <c r="G93" s="15">
        <f>+VLOOKUP(H93,Exportados!$H:$I,2,0)</f>
        <v>53</v>
      </c>
      <c r="H93" t="str">
        <f>_xlfn.TRANSLATE(C93,"en","es")</f>
        <v>Personal externalizado (por ejemplo, autónomos o contratistas)</v>
      </c>
      <c r="I93" s="15">
        <f>+VLOOKUP(J93,Exportados!$A:$B,2,0)</f>
        <v>76</v>
      </c>
      <c r="J93" t="str">
        <f>_xlfn.TRANSLATE(D93,"en","es")</f>
        <v>Un tercero no tiene un control de acceso adecuado</v>
      </c>
      <c r="K93" s="15">
        <f>+VLOOKUP(L93,Exportados!$D:$E,2,0)</f>
        <v>14</v>
      </c>
      <c r="L93" t="str">
        <f>_xlfn.TRANSLATE(E93,"en","es")</f>
        <v>Errores o interrupciones del servicio de proveedores externos</v>
      </c>
    </row>
    <row r="94" spans="2:12" ht="18.75" x14ac:dyDescent="0.45">
      <c r="B94" s="2" t="s">
        <v>188</v>
      </c>
      <c r="C94" s="6" t="s">
        <v>58</v>
      </c>
      <c r="D94" s="6" t="s">
        <v>145</v>
      </c>
      <c r="E94" s="2" t="s">
        <v>178</v>
      </c>
      <c r="F94" s="15"/>
      <c r="G94" s="15">
        <f>+VLOOKUP(H94,Exportados!$H:$I,2,0)</f>
        <v>53</v>
      </c>
      <c r="H94" t="str">
        <f>_xlfn.TRANSLATE(C94,"en","es")</f>
        <v>Personal externalizado (por ejemplo, autónomos o contratistas)</v>
      </c>
      <c r="I94" s="15">
        <f>+VLOOKUP(J94,Exportados!$A:$B,2,0)</f>
        <v>76</v>
      </c>
      <c r="J94" t="str">
        <f>_xlfn.TRANSLATE(D94,"en","es")</f>
        <v>Un tercero no tiene un control de acceso adecuado</v>
      </c>
      <c r="K94" s="15">
        <f>+VLOOKUP(L94,Exportados!$D:$E,2,0)</f>
        <v>5</v>
      </c>
      <c r="L94" t="str">
        <f>_xlfn.TRANSLATE(E94,"en","es")</f>
        <v>Incumplimiento de leyes o reglamentos</v>
      </c>
    </row>
    <row r="95" spans="2:12" ht="18.75" x14ac:dyDescent="0.45">
      <c r="B95" s="2" t="s">
        <v>171</v>
      </c>
      <c r="C95" s="6" t="s">
        <v>58</v>
      </c>
      <c r="D95" s="6" t="s">
        <v>149</v>
      </c>
      <c r="E95" s="2" t="s">
        <v>177</v>
      </c>
      <c r="F95" s="15"/>
      <c r="G95" s="15">
        <f>+VLOOKUP(H95,Exportados!$H:$I,2,0)</f>
        <v>53</v>
      </c>
      <c r="H95" t="str">
        <f>_xlfn.TRANSLATE(C95,"en","es")</f>
        <v>Personal externalizado (por ejemplo, autónomos o contratistas)</v>
      </c>
      <c r="I95" s="15">
        <f>+VLOOKUP(J95,Exportados!$A:$B,2,0)</f>
        <v>40</v>
      </c>
      <c r="J95" t="str">
        <f>_xlfn.TRANSLATE(D95,"en","es")</f>
        <v>Falta de acuerdos formales</v>
      </c>
      <c r="K95" s="15">
        <f>+VLOOKUP(L95,Exportados!$D:$E,2,0)</f>
        <v>4</v>
      </c>
      <c r="L95" t="str">
        <f>_xlfn.TRANSLATE(E95,"en","es")</f>
        <v>Incumplimiento de contratos o acuerdos</v>
      </c>
    </row>
    <row r="96" spans="2:12" ht="18.75" x14ac:dyDescent="0.45">
      <c r="B96" s="2" t="s">
        <v>197</v>
      </c>
      <c r="C96" s="6" t="s">
        <v>58</v>
      </c>
      <c r="D96" s="6" t="s">
        <v>149</v>
      </c>
      <c r="E96" s="2" t="s">
        <v>178</v>
      </c>
      <c r="F96" s="15"/>
      <c r="G96" s="15">
        <f>+VLOOKUP(H96,Exportados!$H:$I,2,0)</f>
        <v>53</v>
      </c>
      <c r="H96" t="str">
        <f>_xlfn.TRANSLATE(C96,"en","es")</f>
        <v>Personal externalizado (por ejemplo, autónomos o contratistas)</v>
      </c>
      <c r="I96" s="15">
        <f>+VLOOKUP(J96,Exportados!$A:$B,2,0)</f>
        <v>40</v>
      </c>
      <c r="J96" t="str">
        <f>_xlfn.TRANSLATE(D96,"en","es")</f>
        <v>Falta de acuerdos formales</v>
      </c>
      <c r="K96" s="15">
        <f>+VLOOKUP(L96,Exportados!$D:$E,2,0)</f>
        <v>5</v>
      </c>
      <c r="L96" t="str">
        <f>_xlfn.TRANSLATE(E96,"en","es")</f>
        <v>Incumplimiento de leyes o reglamentos</v>
      </c>
    </row>
    <row r="97" spans="2:12" ht="18.75" x14ac:dyDescent="0.45">
      <c r="B97" s="6" t="s">
        <v>35</v>
      </c>
      <c r="C97" s="6" t="s">
        <v>66</v>
      </c>
      <c r="D97" s="6" t="s">
        <v>150</v>
      </c>
      <c r="E97" s="2" t="s">
        <v>178</v>
      </c>
      <c r="F97" s="15"/>
      <c r="G97" s="15">
        <f>+VLOOKUP(H97,Exportados!$H:$I,2,0)</f>
        <v>61</v>
      </c>
      <c r="H97" t="str">
        <f>_xlfn.TRANSLATE(C97,"en","es")</f>
        <v>Servicios de comunicación (voz, Internet, etc.)</v>
      </c>
      <c r="I97" s="15">
        <f>+VLOOKUP(J97,Exportados!$A:$B,2,0)</f>
        <v>38</v>
      </c>
      <c r="J97" t="str">
        <f>_xlfn.TRANSLATE(D97,"en","es")</f>
        <v>Falta de control sobre dónde almacena la información de terceros</v>
      </c>
      <c r="K97" s="15">
        <f>+VLOOKUP(L97,Exportados!$D:$E,2,0)</f>
        <v>5</v>
      </c>
      <c r="L97" t="str">
        <f>_xlfn.TRANSLATE(E97,"en","es")</f>
        <v>Incumplimiento de leyes o reglamentos</v>
      </c>
    </row>
    <row r="98" spans="2:12" ht="18.75" x14ac:dyDescent="0.45">
      <c r="B98" s="6" t="s">
        <v>103</v>
      </c>
      <c r="C98" s="6" t="s">
        <v>66</v>
      </c>
      <c r="D98" s="6" t="s">
        <v>150</v>
      </c>
      <c r="E98" s="2" t="s">
        <v>204</v>
      </c>
      <c r="F98" s="15"/>
      <c r="G98" s="15">
        <f>+VLOOKUP(H98,Exportados!$H:$I,2,0)</f>
        <v>61</v>
      </c>
      <c r="H98" t="str">
        <f>_xlfn.TRANSLATE(C98,"en","es")</f>
        <v>Servicios de comunicación (voz, Internet, etc.)</v>
      </c>
      <c r="I98" s="15">
        <f>+VLOOKUP(J98,Exportados!$A:$B,2,0)</f>
        <v>38</v>
      </c>
      <c r="J98" t="str">
        <f>_xlfn.TRANSLATE(D98,"en","es")</f>
        <v>Falta de control sobre dónde almacena la información de terceros</v>
      </c>
      <c r="K98" s="15">
        <f>+VLOOKUP(L98,Exportados!$D:$E,2,0)</f>
        <v>3</v>
      </c>
      <c r="L98" t="str">
        <f>_xlfn.TRANSLATE(E98,"en","es")</f>
        <v>Ataque a través de equipo/servicio externalizado (comprometiendo la cadena de suministro)</v>
      </c>
    </row>
    <row r="99" spans="2:12" x14ac:dyDescent="0.45">
      <c r="B99" s="2" t="s">
        <v>197</v>
      </c>
    </row>
    <row r="100" spans="2:12" x14ac:dyDescent="0.45">
      <c r="B100" s="6" t="s">
        <v>106</v>
      </c>
    </row>
    <row r="101" spans="2:12" x14ac:dyDescent="0.45">
      <c r="B101" s="2" t="s">
        <v>177</v>
      </c>
    </row>
    <row r="102" spans="2:12" x14ac:dyDescent="0.45">
      <c r="B102" s="2" t="s">
        <v>180</v>
      </c>
    </row>
    <row r="103" spans="2:12" x14ac:dyDescent="0.45">
      <c r="B103" s="2" t="s">
        <v>194</v>
      </c>
    </row>
    <row r="104" spans="2:12" ht="14.65" thickBot="1" x14ac:dyDescent="0.5">
      <c r="B104" s="2" t="s">
        <v>197</v>
      </c>
    </row>
    <row r="105" spans="2:12" ht="14.65" thickBot="1" x14ac:dyDescent="0.5">
      <c r="B105" s="3" t="s">
        <v>39</v>
      </c>
    </row>
    <row r="106" spans="2:12" x14ac:dyDescent="0.45">
      <c r="B106" s="1" t="s">
        <v>19</v>
      </c>
    </row>
    <row r="107" spans="2:12" x14ac:dyDescent="0.45">
      <c r="B107" s="5" t="s">
        <v>67</v>
      </c>
    </row>
    <row r="108" spans="2:12" x14ac:dyDescent="0.45">
      <c r="B108" s="1" t="s">
        <v>156</v>
      </c>
    </row>
    <row r="109" spans="2:12" x14ac:dyDescent="0.45">
      <c r="B109" s="6" t="s">
        <v>43</v>
      </c>
    </row>
    <row r="110" spans="2:12" x14ac:dyDescent="0.45">
      <c r="B110" s="6" t="s">
        <v>124</v>
      </c>
    </row>
    <row r="111" spans="2:12" x14ac:dyDescent="0.45">
      <c r="B111" s="2" t="s">
        <v>177</v>
      </c>
    </row>
    <row r="112" spans="2:12" x14ac:dyDescent="0.45">
      <c r="B112" s="2" t="s">
        <v>178</v>
      </c>
    </row>
    <row r="113" spans="2:2" x14ac:dyDescent="0.45">
      <c r="B113" s="2" t="s">
        <v>198</v>
      </c>
    </row>
    <row r="114" spans="2:2" x14ac:dyDescent="0.45">
      <c r="B114" s="2" t="s">
        <v>179</v>
      </c>
    </row>
    <row r="115" spans="2:2" x14ac:dyDescent="0.45">
      <c r="B115" s="2" t="s">
        <v>180</v>
      </c>
    </row>
    <row r="116" spans="2:2" x14ac:dyDescent="0.45">
      <c r="B116" s="2" t="s">
        <v>199</v>
      </c>
    </row>
    <row r="117" spans="2:2" x14ac:dyDescent="0.45">
      <c r="B117" s="6" t="s">
        <v>125</v>
      </c>
    </row>
    <row r="118" spans="2:2" x14ac:dyDescent="0.45">
      <c r="B118" s="2" t="s">
        <v>177</v>
      </c>
    </row>
    <row r="119" spans="2:2" x14ac:dyDescent="0.45">
      <c r="B119" s="2" t="s">
        <v>178</v>
      </c>
    </row>
    <row r="120" spans="2:2" x14ac:dyDescent="0.45">
      <c r="B120" s="2" t="s">
        <v>198</v>
      </c>
    </row>
    <row r="121" spans="2:2" x14ac:dyDescent="0.45">
      <c r="B121" s="2" t="s">
        <v>179</v>
      </c>
    </row>
    <row r="122" spans="2:2" x14ac:dyDescent="0.45">
      <c r="B122" s="2" t="s">
        <v>200</v>
      </c>
    </row>
    <row r="123" spans="2:2" x14ac:dyDescent="0.45">
      <c r="B123" s="2" t="s">
        <v>201</v>
      </c>
    </row>
    <row r="124" spans="2:2" x14ac:dyDescent="0.45">
      <c r="B124" s="2" t="s">
        <v>199</v>
      </c>
    </row>
    <row r="125" spans="2:2" ht="14.65" thickBot="1" x14ac:dyDescent="0.5">
      <c r="B125" s="2" t="s">
        <v>202</v>
      </c>
    </row>
    <row r="126" spans="2:2" ht="14.65" thickBot="1" x14ac:dyDescent="0.5">
      <c r="B126" s="3" t="s">
        <v>48</v>
      </c>
    </row>
    <row r="127" spans="2:2" x14ac:dyDescent="0.45">
      <c r="B127" s="1" t="s">
        <v>19</v>
      </c>
    </row>
    <row r="128" spans="2:2" x14ac:dyDescent="0.45">
      <c r="B128" s="5" t="s">
        <v>67</v>
      </c>
    </row>
    <row r="129" spans="2:2" x14ac:dyDescent="0.45">
      <c r="B129" s="1" t="s">
        <v>156</v>
      </c>
    </row>
    <row r="130" spans="2:2" x14ac:dyDescent="0.45">
      <c r="B130" s="6" t="s">
        <v>52</v>
      </c>
    </row>
    <row r="131" spans="2:2" x14ac:dyDescent="0.45">
      <c r="B131" s="6" t="s">
        <v>134</v>
      </c>
    </row>
    <row r="132" spans="2:2" ht="14.65" thickBot="1" x14ac:dyDescent="0.5">
      <c r="B132" s="2" t="s">
        <v>199</v>
      </c>
    </row>
    <row r="133" spans="2:2" ht="14.65" thickBot="1" x14ac:dyDescent="0.5">
      <c r="B133" s="3" t="s">
        <v>55</v>
      </c>
    </row>
    <row r="134" spans="2:2" x14ac:dyDescent="0.45">
      <c r="B134" s="1" t="s">
        <v>19</v>
      </c>
    </row>
    <row r="135" spans="2:2" x14ac:dyDescent="0.45">
      <c r="B135" s="5" t="s">
        <v>67</v>
      </c>
    </row>
    <row r="136" spans="2:2" x14ac:dyDescent="0.45">
      <c r="B136" s="1" t="s">
        <v>156</v>
      </c>
    </row>
    <row r="137" spans="2:2" x14ac:dyDescent="0.45">
      <c r="B137" s="6" t="s">
        <v>58</v>
      </c>
    </row>
    <row r="138" spans="2:2" x14ac:dyDescent="0.45">
      <c r="B138" s="6" t="s">
        <v>141</v>
      </c>
    </row>
    <row r="139" spans="2:2" x14ac:dyDescent="0.45">
      <c r="B139" s="2" t="s">
        <v>203</v>
      </c>
    </row>
    <row r="140" spans="2:2" x14ac:dyDescent="0.45">
      <c r="B140" s="6" t="s">
        <v>145</v>
      </c>
    </row>
    <row r="141" spans="2:2" x14ac:dyDescent="0.45">
      <c r="B141" s="2" t="s">
        <v>203</v>
      </c>
    </row>
    <row r="142" spans="2:2" x14ac:dyDescent="0.45">
      <c r="B142" s="2" t="s">
        <v>178</v>
      </c>
    </row>
    <row r="143" spans="2:2" x14ac:dyDescent="0.45">
      <c r="B143" s="6" t="s">
        <v>149</v>
      </c>
    </row>
    <row r="144" spans="2:2" x14ac:dyDescent="0.45">
      <c r="B144" s="2" t="s">
        <v>177</v>
      </c>
    </row>
    <row r="145" spans="2:2" x14ac:dyDescent="0.45">
      <c r="B145" s="2" t="s">
        <v>178</v>
      </c>
    </row>
    <row r="146" spans="2:2" x14ac:dyDescent="0.45">
      <c r="B146" s="6" t="s">
        <v>66</v>
      </c>
    </row>
    <row r="147" spans="2:2" x14ac:dyDescent="0.45">
      <c r="B147" s="6" t="s">
        <v>150</v>
      </c>
    </row>
    <row r="148" spans="2:2" x14ac:dyDescent="0.45">
      <c r="B148" s="2" t="s">
        <v>178</v>
      </c>
    </row>
    <row r="149" spans="2:2" x14ac:dyDescent="0.45">
      <c r="B149" s="2" t="s">
        <v>204</v>
      </c>
    </row>
    <row r="150" spans="2:2" x14ac:dyDescent="0.45">
      <c r="B150" s="7" t="s">
        <v>205</v>
      </c>
    </row>
    <row r="151" spans="2:2" x14ac:dyDescent="0.45">
      <c r="B151" s="8" t="s">
        <v>206</v>
      </c>
    </row>
  </sheetData>
  <autoFilter ref="B3:E151" xr:uid="{47CBA822-688E-4ADC-A327-35655F7BEBF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737B-559F-4C62-9F08-C4715C791511}">
  <dimension ref="A1:I88"/>
  <sheetViews>
    <sheetView workbookViewId="0">
      <selection activeCell="D1" sqref="D1"/>
    </sheetView>
  </sheetViews>
  <sheetFormatPr baseColWidth="10" defaultRowHeight="14.25" x14ac:dyDescent="0.45"/>
  <sheetData>
    <row r="1" spans="1:9" x14ac:dyDescent="0.45">
      <c r="A1" t="s">
        <v>216</v>
      </c>
      <c r="B1" t="s">
        <v>215</v>
      </c>
      <c r="D1" t="s">
        <v>303</v>
      </c>
      <c r="E1" t="s">
        <v>215</v>
      </c>
      <c r="H1" t="s">
        <v>352</v>
      </c>
      <c r="I1" t="s">
        <v>215</v>
      </c>
    </row>
    <row r="2" spans="1:9" x14ac:dyDescent="0.45">
      <c r="A2" t="s">
        <v>217</v>
      </c>
      <c r="B2">
        <v>1</v>
      </c>
      <c r="D2" t="s">
        <v>304</v>
      </c>
      <c r="E2">
        <v>1</v>
      </c>
      <c r="H2" t="s">
        <v>218</v>
      </c>
      <c r="I2">
        <v>1</v>
      </c>
    </row>
    <row r="3" spans="1:9" x14ac:dyDescent="0.45">
      <c r="A3" t="s">
        <v>218</v>
      </c>
      <c r="B3">
        <v>2</v>
      </c>
      <c r="D3" t="s">
        <v>305</v>
      </c>
      <c r="E3">
        <v>2</v>
      </c>
      <c r="H3" t="s">
        <v>353</v>
      </c>
      <c r="I3">
        <v>2</v>
      </c>
    </row>
    <row r="4" spans="1:9" x14ac:dyDescent="0.45">
      <c r="A4" t="s">
        <v>219</v>
      </c>
      <c r="B4">
        <v>3</v>
      </c>
      <c r="D4" t="s">
        <v>306</v>
      </c>
      <c r="E4">
        <v>3</v>
      </c>
      <c r="H4" t="s">
        <v>354</v>
      </c>
      <c r="I4">
        <v>3</v>
      </c>
    </row>
    <row r="5" spans="1:9" x14ac:dyDescent="0.45">
      <c r="A5" t="s">
        <v>220</v>
      </c>
      <c r="B5">
        <v>4</v>
      </c>
      <c r="D5" t="s">
        <v>307</v>
      </c>
      <c r="E5">
        <v>4</v>
      </c>
      <c r="H5" t="s">
        <v>355</v>
      </c>
      <c r="I5">
        <v>4</v>
      </c>
    </row>
    <row r="6" spans="1:9" x14ac:dyDescent="0.45">
      <c r="A6" t="s">
        <v>221</v>
      </c>
      <c r="B6">
        <v>5</v>
      </c>
      <c r="D6" t="s">
        <v>308</v>
      </c>
      <c r="E6">
        <v>5</v>
      </c>
      <c r="H6" t="s">
        <v>356</v>
      </c>
      <c r="I6">
        <v>5</v>
      </c>
    </row>
    <row r="7" spans="1:9" x14ac:dyDescent="0.45">
      <c r="A7" t="s">
        <v>222</v>
      </c>
      <c r="B7">
        <v>6</v>
      </c>
      <c r="D7" t="s">
        <v>309</v>
      </c>
      <c r="E7">
        <v>6</v>
      </c>
      <c r="H7" t="s">
        <v>357</v>
      </c>
      <c r="I7">
        <v>6</v>
      </c>
    </row>
    <row r="8" spans="1:9" x14ac:dyDescent="0.45">
      <c r="A8" t="s">
        <v>223</v>
      </c>
      <c r="B8">
        <v>7</v>
      </c>
      <c r="D8" t="s">
        <v>310</v>
      </c>
      <c r="E8">
        <v>7</v>
      </c>
      <c r="H8" t="s">
        <v>358</v>
      </c>
      <c r="I8">
        <v>7</v>
      </c>
    </row>
    <row r="9" spans="1:9" x14ac:dyDescent="0.45">
      <c r="A9" t="s">
        <v>224</v>
      </c>
      <c r="B9">
        <v>8</v>
      </c>
      <c r="D9" t="s">
        <v>311</v>
      </c>
      <c r="E9">
        <v>8</v>
      </c>
      <c r="H9" t="s">
        <v>359</v>
      </c>
      <c r="I9">
        <v>8</v>
      </c>
    </row>
    <row r="10" spans="1:9" x14ac:dyDescent="0.45">
      <c r="A10" t="s">
        <v>225</v>
      </c>
      <c r="B10">
        <v>9</v>
      </c>
      <c r="D10" t="s">
        <v>312</v>
      </c>
      <c r="E10">
        <v>9</v>
      </c>
      <c r="H10" t="s">
        <v>360</v>
      </c>
      <c r="I10">
        <v>9</v>
      </c>
    </row>
    <row r="11" spans="1:9" x14ac:dyDescent="0.45">
      <c r="A11" t="s">
        <v>226</v>
      </c>
      <c r="B11">
        <v>10</v>
      </c>
      <c r="D11" t="s">
        <v>313</v>
      </c>
      <c r="E11">
        <v>10</v>
      </c>
      <c r="H11" t="s">
        <v>361</v>
      </c>
      <c r="I11">
        <v>10</v>
      </c>
    </row>
    <row r="12" spans="1:9" x14ac:dyDescent="0.45">
      <c r="A12" t="s">
        <v>227</v>
      </c>
      <c r="B12">
        <v>11</v>
      </c>
      <c r="D12" t="s">
        <v>314</v>
      </c>
      <c r="E12">
        <v>11</v>
      </c>
      <c r="H12" t="s">
        <v>362</v>
      </c>
      <c r="I12">
        <v>11</v>
      </c>
    </row>
    <row r="13" spans="1:9" x14ac:dyDescent="0.45">
      <c r="A13" t="s">
        <v>228</v>
      </c>
      <c r="B13">
        <v>12</v>
      </c>
      <c r="D13" t="s">
        <v>315</v>
      </c>
      <c r="E13">
        <v>12</v>
      </c>
      <c r="H13" t="s">
        <v>363</v>
      </c>
      <c r="I13">
        <v>12</v>
      </c>
    </row>
    <row r="14" spans="1:9" x14ac:dyDescent="0.45">
      <c r="A14" t="s">
        <v>229</v>
      </c>
      <c r="B14">
        <v>13</v>
      </c>
      <c r="D14" t="s">
        <v>316</v>
      </c>
      <c r="E14">
        <v>13</v>
      </c>
      <c r="H14" t="s">
        <v>364</v>
      </c>
      <c r="I14">
        <v>13</v>
      </c>
    </row>
    <row r="15" spans="1:9" x14ac:dyDescent="0.45">
      <c r="A15" t="s">
        <v>230</v>
      </c>
      <c r="B15">
        <v>14</v>
      </c>
      <c r="D15" t="s">
        <v>317</v>
      </c>
      <c r="E15">
        <v>14</v>
      </c>
      <c r="H15" t="s">
        <v>365</v>
      </c>
      <c r="I15">
        <v>14</v>
      </c>
    </row>
    <row r="16" spans="1:9" x14ac:dyDescent="0.45">
      <c r="A16" t="s">
        <v>231</v>
      </c>
      <c r="B16">
        <v>15</v>
      </c>
      <c r="D16" t="s">
        <v>318</v>
      </c>
      <c r="E16">
        <v>15</v>
      </c>
      <c r="H16" t="s">
        <v>366</v>
      </c>
      <c r="I16">
        <v>15</v>
      </c>
    </row>
    <row r="17" spans="1:9" x14ac:dyDescent="0.45">
      <c r="A17" t="s">
        <v>232</v>
      </c>
      <c r="B17">
        <v>16</v>
      </c>
      <c r="D17" t="s">
        <v>319</v>
      </c>
      <c r="E17">
        <v>16</v>
      </c>
      <c r="H17" t="s">
        <v>367</v>
      </c>
      <c r="I17">
        <v>16</v>
      </c>
    </row>
    <row r="18" spans="1:9" x14ac:dyDescent="0.45">
      <c r="A18" t="s">
        <v>233</v>
      </c>
      <c r="B18">
        <v>17</v>
      </c>
      <c r="D18" t="s">
        <v>320</v>
      </c>
      <c r="E18">
        <v>17</v>
      </c>
      <c r="H18" t="s">
        <v>368</v>
      </c>
      <c r="I18">
        <v>17</v>
      </c>
    </row>
    <row r="19" spans="1:9" x14ac:dyDescent="0.45">
      <c r="A19" t="s">
        <v>234</v>
      </c>
      <c r="B19">
        <v>18</v>
      </c>
      <c r="D19" t="s">
        <v>321</v>
      </c>
      <c r="E19">
        <v>18</v>
      </c>
      <c r="H19" t="s">
        <v>369</v>
      </c>
      <c r="I19">
        <v>18</v>
      </c>
    </row>
    <row r="20" spans="1:9" x14ac:dyDescent="0.45">
      <c r="A20" t="s">
        <v>235</v>
      </c>
      <c r="B20">
        <v>19</v>
      </c>
      <c r="D20" t="s">
        <v>322</v>
      </c>
      <c r="E20">
        <v>19</v>
      </c>
      <c r="H20" t="s">
        <v>370</v>
      </c>
      <c r="I20">
        <v>19</v>
      </c>
    </row>
    <row r="21" spans="1:9" x14ac:dyDescent="0.45">
      <c r="A21" t="s">
        <v>236</v>
      </c>
      <c r="B21">
        <v>20</v>
      </c>
      <c r="D21" t="s">
        <v>323</v>
      </c>
      <c r="E21">
        <v>20</v>
      </c>
      <c r="H21" t="s">
        <v>371</v>
      </c>
      <c r="I21">
        <v>20</v>
      </c>
    </row>
    <row r="22" spans="1:9" x14ac:dyDescent="0.45">
      <c r="A22" t="s">
        <v>237</v>
      </c>
      <c r="B22">
        <v>21</v>
      </c>
      <c r="D22" t="s">
        <v>324</v>
      </c>
      <c r="E22">
        <v>21</v>
      </c>
      <c r="H22" t="s">
        <v>372</v>
      </c>
      <c r="I22">
        <v>21</v>
      </c>
    </row>
    <row r="23" spans="1:9" x14ac:dyDescent="0.45">
      <c r="A23" t="s">
        <v>238</v>
      </c>
      <c r="B23">
        <v>22</v>
      </c>
      <c r="D23" t="s">
        <v>325</v>
      </c>
      <c r="E23">
        <v>22</v>
      </c>
      <c r="H23" t="s">
        <v>373</v>
      </c>
      <c r="I23">
        <v>22</v>
      </c>
    </row>
    <row r="24" spans="1:9" x14ac:dyDescent="0.45">
      <c r="A24" t="s">
        <v>239</v>
      </c>
      <c r="B24">
        <v>23</v>
      </c>
      <c r="D24" t="s">
        <v>326</v>
      </c>
      <c r="E24">
        <v>23</v>
      </c>
      <c r="H24" t="s">
        <v>374</v>
      </c>
      <c r="I24">
        <v>23</v>
      </c>
    </row>
    <row r="25" spans="1:9" x14ac:dyDescent="0.45">
      <c r="A25" t="s">
        <v>240</v>
      </c>
      <c r="B25">
        <v>24</v>
      </c>
      <c r="D25" t="s">
        <v>327</v>
      </c>
      <c r="E25">
        <v>24</v>
      </c>
      <c r="H25" t="s">
        <v>375</v>
      </c>
      <c r="I25">
        <v>24</v>
      </c>
    </row>
    <row r="26" spans="1:9" x14ac:dyDescent="0.45">
      <c r="A26" t="s">
        <v>241</v>
      </c>
      <c r="B26">
        <v>25</v>
      </c>
      <c r="D26" t="s">
        <v>328</v>
      </c>
      <c r="E26">
        <v>25</v>
      </c>
      <c r="H26" t="s">
        <v>376</v>
      </c>
      <c r="I26">
        <v>25</v>
      </c>
    </row>
    <row r="27" spans="1:9" x14ac:dyDescent="0.45">
      <c r="A27" t="s">
        <v>242</v>
      </c>
      <c r="B27">
        <v>26</v>
      </c>
      <c r="D27" t="s">
        <v>329</v>
      </c>
      <c r="E27">
        <v>26</v>
      </c>
      <c r="H27" t="s">
        <v>377</v>
      </c>
      <c r="I27">
        <v>26</v>
      </c>
    </row>
    <row r="28" spans="1:9" x14ac:dyDescent="0.45">
      <c r="A28" t="s">
        <v>243</v>
      </c>
      <c r="B28">
        <v>27</v>
      </c>
      <c r="D28" t="s">
        <v>330</v>
      </c>
      <c r="E28">
        <v>27</v>
      </c>
      <c r="H28" t="s">
        <v>378</v>
      </c>
      <c r="I28">
        <v>27</v>
      </c>
    </row>
    <row r="29" spans="1:9" x14ac:dyDescent="0.45">
      <c r="A29" t="s">
        <v>244</v>
      </c>
      <c r="B29">
        <v>28</v>
      </c>
      <c r="D29" t="s">
        <v>331</v>
      </c>
      <c r="E29">
        <v>28</v>
      </c>
      <c r="H29" t="s">
        <v>379</v>
      </c>
      <c r="I29">
        <v>28</v>
      </c>
    </row>
    <row r="30" spans="1:9" x14ac:dyDescent="0.45">
      <c r="A30" t="s">
        <v>245</v>
      </c>
      <c r="B30">
        <v>29</v>
      </c>
      <c r="D30" t="s">
        <v>332</v>
      </c>
      <c r="E30">
        <v>29</v>
      </c>
      <c r="H30" t="s">
        <v>380</v>
      </c>
      <c r="I30">
        <v>29</v>
      </c>
    </row>
    <row r="31" spans="1:9" x14ac:dyDescent="0.45">
      <c r="A31" t="s">
        <v>246</v>
      </c>
      <c r="B31">
        <v>30</v>
      </c>
      <c r="D31" t="s">
        <v>333</v>
      </c>
      <c r="E31">
        <v>30</v>
      </c>
      <c r="H31" t="s">
        <v>381</v>
      </c>
      <c r="I31">
        <v>30</v>
      </c>
    </row>
    <row r="32" spans="1:9" x14ac:dyDescent="0.45">
      <c r="A32" t="s">
        <v>247</v>
      </c>
      <c r="B32">
        <v>31</v>
      </c>
      <c r="D32" t="s">
        <v>334</v>
      </c>
      <c r="E32">
        <v>31</v>
      </c>
      <c r="H32" t="s">
        <v>382</v>
      </c>
      <c r="I32">
        <v>31</v>
      </c>
    </row>
    <row r="33" spans="1:9" x14ac:dyDescent="0.45">
      <c r="A33" t="s">
        <v>248</v>
      </c>
      <c r="B33">
        <v>32</v>
      </c>
      <c r="D33" t="s">
        <v>335</v>
      </c>
      <c r="E33">
        <v>32</v>
      </c>
      <c r="H33" t="s">
        <v>383</v>
      </c>
      <c r="I33">
        <v>32</v>
      </c>
    </row>
    <row r="34" spans="1:9" x14ac:dyDescent="0.45">
      <c r="A34" t="s">
        <v>249</v>
      </c>
      <c r="B34">
        <v>33</v>
      </c>
      <c r="D34" t="s">
        <v>336</v>
      </c>
      <c r="E34">
        <v>33</v>
      </c>
      <c r="H34" t="s">
        <v>384</v>
      </c>
      <c r="I34">
        <v>33</v>
      </c>
    </row>
    <row r="35" spans="1:9" x14ac:dyDescent="0.45">
      <c r="A35" t="s">
        <v>250</v>
      </c>
      <c r="B35">
        <v>34</v>
      </c>
      <c r="D35" t="s">
        <v>337</v>
      </c>
      <c r="E35">
        <v>34</v>
      </c>
      <c r="H35" t="s">
        <v>385</v>
      </c>
      <c r="I35">
        <v>34</v>
      </c>
    </row>
    <row r="36" spans="1:9" x14ac:dyDescent="0.45">
      <c r="A36" t="s">
        <v>251</v>
      </c>
      <c r="B36">
        <v>35</v>
      </c>
      <c r="D36" t="s">
        <v>338</v>
      </c>
      <c r="E36">
        <v>35</v>
      </c>
      <c r="H36" t="s">
        <v>386</v>
      </c>
      <c r="I36">
        <v>35</v>
      </c>
    </row>
    <row r="37" spans="1:9" x14ac:dyDescent="0.45">
      <c r="A37" t="s">
        <v>252</v>
      </c>
      <c r="B37">
        <v>36</v>
      </c>
      <c r="D37" t="s">
        <v>339</v>
      </c>
      <c r="E37">
        <v>36</v>
      </c>
      <c r="H37" t="s">
        <v>387</v>
      </c>
      <c r="I37">
        <v>36</v>
      </c>
    </row>
    <row r="38" spans="1:9" x14ac:dyDescent="0.45">
      <c r="A38" t="s">
        <v>253</v>
      </c>
      <c r="B38">
        <v>37</v>
      </c>
      <c r="D38" t="s">
        <v>340</v>
      </c>
      <c r="E38">
        <v>37</v>
      </c>
      <c r="H38" t="s">
        <v>388</v>
      </c>
      <c r="I38">
        <v>37</v>
      </c>
    </row>
    <row r="39" spans="1:9" x14ac:dyDescent="0.45">
      <c r="A39" t="s">
        <v>254</v>
      </c>
      <c r="B39">
        <v>38</v>
      </c>
      <c r="D39" t="s">
        <v>341</v>
      </c>
      <c r="E39">
        <v>38</v>
      </c>
      <c r="H39" t="s">
        <v>389</v>
      </c>
      <c r="I39">
        <v>38</v>
      </c>
    </row>
    <row r="40" spans="1:9" x14ac:dyDescent="0.45">
      <c r="A40" t="s">
        <v>255</v>
      </c>
      <c r="B40">
        <v>39</v>
      </c>
      <c r="D40" t="s">
        <v>342</v>
      </c>
      <c r="E40">
        <v>39</v>
      </c>
      <c r="H40" t="s">
        <v>390</v>
      </c>
      <c r="I40">
        <v>39</v>
      </c>
    </row>
    <row r="41" spans="1:9" x14ac:dyDescent="0.45">
      <c r="A41" t="s">
        <v>256</v>
      </c>
      <c r="B41">
        <v>40</v>
      </c>
      <c r="D41" t="s">
        <v>343</v>
      </c>
      <c r="E41">
        <v>40</v>
      </c>
      <c r="H41" t="s">
        <v>391</v>
      </c>
      <c r="I41">
        <v>40</v>
      </c>
    </row>
    <row r="42" spans="1:9" x14ac:dyDescent="0.45">
      <c r="A42" t="s">
        <v>257</v>
      </c>
      <c r="B42">
        <v>41</v>
      </c>
      <c r="D42" t="s">
        <v>344</v>
      </c>
      <c r="E42">
        <v>41</v>
      </c>
      <c r="H42" t="s">
        <v>392</v>
      </c>
      <c r="I42">
        <v>41</v>
      </c>
    </row>
    <row r="43" spans="1:9" x14ac:dyDescent="0.45">
      <c r="A43" t="s">
        <v>258</v>
      </c>
      <c r="B43">
        <v>42</v>
      </c>
      <c r="D43" t="s">
        <v>345</v>
      </c>
      <c r="E43">
        <v>42</v>
      </c>
      <c r="H43" t="s">
        <v>393</v>
      </c>
      <c r="I43">
        <v>42</v>
      </c>
    </row>
    <row r="44" spans="1:9" x14ac:dyDescent="0.45">
      <c r="A44" t="s">
        <v>259</v>
      </c>
      <c r="B44">
        <v>43</v>
      </c>
      <c r="D44" t="s">
        <v>346</v>
      </c>
      <c r="E44">
        <v>43</v>
      </c>
      <c r="H44" t="s">
        <v>394</v>
      </c>
      <c r="I44">
        <v>43</v>
      </c>
    </row>
    <row r="45" spans="1:9" x14ac:dyDescent="0.45">
      <c r="A45" t="s">
        <v>260</v>
      </c>
      <c r="B45">
        <v>44</v>
      </c>
      <c r="D45" t="s">
        <v>347</v>
      </c>
      <c r="E45">
        <v>44</v>
      </c>
      <c r="H45" t="s">
        <v>395</v>
      </c>
      <c r="I45">
        <v>44</v>
      </c>
    </row>
    <row r="46" spans="1:9" x14ac:dyDescent="0.45">
      <c r="A46" t="s">
        <v>261</v>
      </c>
      <c r="B46">
        <v>45</v>
      </c>
      <c r="D46" t="s">
        <v>348</v>
      </c>
      <c r="E46">
        <v>45</v>
      </c>
      <c r="H46" t="s">
        <v>396</v>
      </c>
      <c r="I46">
        <v>45</v>
      </c>
    </row>
    <row r="47" spans="1:9" x14ac:dyDescent="0.45">
      <c r="A47" t="s">
        <v>262</v>
      </c>
      <c r="B47">
        <v>46</v>
      </c>
      <c r="D47" t="s">
        <v>349</v>
      </c>
      <c r="E47">
        <v>46</v>
      </c>
      <c r="H47" t="s">
        <v>397</v>
      </c>
      <c r="I47">
        <v>46</v>
      </c>
    </row>
    <row r="48" spans="1:9" x14ac:dyDescent="0.45">
      <c r="A48" t="s">
        <v>263</v>
      </c>
      <c r="B48">
        <v>47</v>
      </c>
      <c r="D48" t="s">
        <v>350</v>
      </c>
      <c r="E48">
        <v>47</v>
      </c>
      <c r="H48" t="s">
        <v>398</v>
      </c>
      <c r="I48">
        <v>47</v>
      </c>
    </row>
    <row r="49" spans="1:9" x14ac:dyDescent="0.45">
      <c r="A49" t="s">
        <v>264</v>
      </c>
      <c r="B49">
        <v>48</v>
      </c>
      <c r="D49" t="s">
        <v>351</v>
      </c>
      <c r="E49">
        <v>48</v>
      </c>
      <c r="H49" t="s">
        <v>399</v>
      </c>
      <c r="I49">
        <v>48</v>
      </c>
    </row>
    <row r="50" spans="1:9" x14ac:dyDescent="0.45">
      <c r="A50" t="s">
        <v>265</v>
      </c>
      <c r="B50">
        <v>49</v>
      </c>
      <c r="H50" t="s">
        <v>400</v>
      </c>
      <c r="I50">
        <v>49</v>
      </c>
    </row>
    <row r="51" spans="1:9" x14ac:dyDescent="0.45">
      <c r="A51" t="s">
        <v>266</v>
      </c>
      <c r="B51">
        <v>50</v>
      </c>
      <c r="H51" t="s">
        <v>401</v>
      </c>
      <c r="I51">
        <v>50</v>
      </c>
    </row>
    <row r="52" spans="1:9" x14ac:dyDescent="0.45">
      <c r="A52" t="s">
        <v>267</v>
      </c>
      <c r="B52">
        <v>51</v>
      </c>
      <c r="H52" t="s">
        <v>402</v>
      </c>
      <c r="I52">
        <v>51</v>
      </c>
    </row>
    <row r="53" spans="1:9" x14ac:dyDescent="0.45">
      <c r="A53" t="s">
        <v>268</v>
      </c>
      <c r="B53">
        <v>52</v>
      </c>
      <c r="H53" t="s">
        <v>403</v>
      </c>
      <c r="I53">
        <v>52</v>
      </c>
    </row>
    <row r="54" spans="1:9" x14ac:dyDescent="0.45">
      <c r="A54" t="s">
        <v>269</v>
      </c>
      <c r="B54">
        <v>53</v>
      </c>
      <c r="H54" t="s">
        <v>404</v>
      </c>
      <c r="I54">
        <v>53</v>
      </c>
    </row>
    <row r="55" spans="1:9" x14ac:dyDescent="0.45">
      <c r="A55" t="s">
        <v>270</v>
      </c>
      <c r="B55">
        <v>54</v>
      </c>
      <c r="H55" t="s">
        <v>405</v>
      </c>
      <c r="I55">
        <v>54</v>
      </c>
    </row>
    <row r="56" spans="1:9" x14ac:dyDescent="0.45">
      <c r="A56" t="s">
        <v>271</v>
      </c>
      <c r="B56">
        <v>55</v>
      </c>
      <c r="H56" t="s">
        <v>406</v>
      </c>
      <c r="I56">
        <v>55</v>
      </c>
    </row>
    <row r="57" spans="1:9" x14ac:dyDescent="0.45">
      <c r="A57" t="s">
        <v>272</v>
      </c>
      <c r="B57">
        <v>56</v>
      </c>
      <c r="H57" t="s">
        <v>407</v>
      </c>
      <c r="I57">
        <v>56</v>
      </c>
    </row>
    <row r="58" spans="1:9" x14ac:dyDescent="0.45">
      <c r="A58" t="s">
        <v>273</v>
      </c>
      <c r="B58">
        <v>57</v>
      </c>
      <c r="H58" t="s">
        <v>408</v>
      </c>
      <c r="I58">
        <v>57</v>
      </c>
    </row>
    <row r="59" spans="1:9" x14ac:dyDescent="0.45">
      <c r="A59" t="s">
        <v>274</v>
      </c>
      <c r="B59">
        <v>58</v>
      </c>
      <c r="H59" t="s">
        <v>409</v>
      </c>
      <c r="I59">
        <v>58</v>
      </c>
    </row>
    <row r="60" spans="1:9" x14ac:dyDescent="0.45">
      <c r="A60" t="s">
        <v>275</v>
      </c>
      <c r="B60">
        <v>59</v>
      </c>
      <c r="H60" t="s">
        <v>410</v>
      </c>
      <c r="I60">
        <v>59</v>
      </c>
    </row>
    <row r="61" spans="1:9" x14ac:dyDescent="0.45">
      <c r="A61" t="s">
        <v>276</v>
      </c>
      <c r="B61">
        <v>60</v>
      </c>
      <c r="H61" t="s">
        <v>411</v>
      </c>
      <c r="I61">
        <v>60</v>
      </c>
    </row>
    <row r="62" spans="1:9" x14ac:dyDescent="0.45">
      <c r="A62" t="s">
        <v>277</v>
      </c>
      <c r="B62">
        <v>61</v>
      </c>
      <c r="H62" t="s">
        <v>412</v>
      </c>
      <c r="I62">
        <v>61</v>
      </c>
    </row>
    <row r="63" spans="1:9" x14ac:dyDescent="0.45">
      <c r="A63" t="s">
        <v>278</v>
      </c>
      <c r="B63">
        <v>62</v>
      </c>
    </row>
    <row r="64" spans="1:9" x14ac:dyDescent="0.45">
      <c r="A64" t="s">
        <v>279</v>
      </c>
      <c r="B64">
        <v>63</v>
      </c>
    </row>
    <row r="65" spans="1:2" x14ac:dyDescent="0.45">
      <c r="A65" t="s">
        <v>280</v>
      </c>
      <c r="B65">
        <v>64</v>
      </c>
    </row>
    <row r="66" spans="1:2" x14ac:dyDescent="0.45">
      <c r="A66" t="s">
        <v>281</v>
      </c>
      <c r="B66">
        <v>65</v>
      </c>
    </row>
    <row r="67" spans="1:2" x14ac:dyDescent="0.45">
      <c r="A67" t="s">
        <v>282</v>
      </c>
      <c r="B67">
        <v>66</v>
      </c>
    </row>
    <row r="68" spans="1:2" x14ac:dyDescent="0.45">
      <c r="A68" t="s">
        <v>283</v>
      </c>
      <c r="B68">
        <v>67</v>
      </c>
    </row>
    <row r="69" spans="1:2" x14ac:dyDescent="0.45">
      <c r="A69" t="s">
        <v>284</v>
      </c>
      <c r="B69">
        <v>68</v>
      </c>
    </row>
    <row r="70" spans="1:2" x14ac:dyDescent="0.45">
      <c r="A70" t="s">
        <v>285</v>
      </c>
      <c r="B70">
        <v>69</v>
      </c>
    </row>
    <row r="71" spans="1:2" x14ac:dyDescent="0.45">
      <c r="A71" t="s">
        <v>286</v>
      </c>
      <c r="B71">
        <v>70</v>
      </c>
    </row>
    <row r="72" spans="1:2" x14ac:dyDescent="0.45">
      <c r="A72" t="s">
        <v>287</v>
      </c>
      <c r="B72">
        <v>71</v>
      </c>
    </row>
    <row r="73" spans="1:2" x14ac:dyDescent="0.45">
      <c r="A73" t="s">
        <v>288</v>
      </c>
      <c r="B73">
        <v>72</v>
      </c>
    </row>
    <row r="74" spans="1:2" x14ac:dyDescent="0.45">
      <c r="A74" t="s">
        <v>289</v>
      </c>
      <c r="B74">
        <v>73</v>
      </c>
    </row>
    <row r="75" spans="1:2" x14ac:dyDescent="0.45">
      <c r="A75" t="s">
        <v>290</v>
      </c>
      <c r="B75">
        <v>74</v>
      </c>
    </row>
    <row r="76" spans="1:2" x14ac:dyDescent="0.45">
      <c r="A76" t="s">
        <v>291</v>
      </c>
      <c r="B76">
        <v>75</v>
      </c>
    </row>
    <row r="77" spans="1:2" x14ac:dyDescent="0.45">
      <c r="A77" t="s">
        <v>292</v>
      </c>
      <c r="B77">
        <v>76</v>
      </c>
    </row>
    <row r="78" spans="1:2" x14ac:dyDescent="0.45">
      <c r="A78" t="s">
        <v>293</v>
      </c>
      <c r="B78">
        <v>77</v>
      </c>
    </row>
    <row r="79" spans="1:2" x14ac:dyDescent="0.45">
      <c r="A79" t="s">
        <v>294</v>
      </c>
      <c r="B79">
        <v>78</v>
      </c>
    </row>
    <row r="80" spans="1:2" x14ac:dyDescent="0.45">
      <c r="A80" t="s">
        <v>295</v>
      </c>
      <c r="B80">
        <v>79</v>
      </c>
    </row>
    <row r="81" spans="1:2" x14ac:dyDescent="0.45">
      <c r="A81" t="s">
        <v>296</v>
      </c>
      <c r="B81">
        <v>80</v>
      </c>
    </row>
    <row r="82" spans="1:2" x14ac:dyDescent="0.45">
      <c r="A82" t="s">
        <v>297</v>
      </c>
      <c r="B82">
        <v>81</v>
      </c>
    </row>
    <row r="83" spans="1:2" x14ac:dyDescent="0.45">
      <c r="A83" t="s">
        <v>298</v>
      </c>
      <c r="B83">
        <v>82</v>
      </c>
    </row>
    <row r="84" spans="1:2" x14ac:dyDescent="0.45">
      <c r="A84" t="s">
        <v>299</v>
      </c>
      <c r="B84">
        <v>83</v>
      </c>
    </row>
    <row r="85" spans="1:2" x14ac:dyDescent="0.45">
      <c r="A85" t="s">
        <v>207</v>
      </c>
      <c r="B85">
        <v>84</v>
      </c>
    </row>
    <row r="86" spans="1:2" x14ac:dyDescent="0.45">
      <c r="A86" t="s">
        <v>300</v>
      </c>
      <c r="B86">
        <v>85</v>
      </c>
    </row>
    <row r="87" spans="1:2" x14ac:dyDescent="0.45">
      <c r="A87" t="s">
        <v>301</v>
      </c>
      <c r="B87">
        <v>86</v>
      </c>
    </row>
    <row r="88" spans="1:2" x14ac:dyDescent="0.45">
      <c r="A88" t="s">
        <v>302</v>
      </c>
      <c r="B88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Hoja2</vt:lpstr>
      <vt:lpstr>Assets-Vulnera</vt:lpstr>
      <vt:lpstr>Hoja5</vt:lpstr>
      <vt:lpstr>Combinaciones</vt:lpstr>
      <vt:lpstr>Exportados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YANINA MANEFFA</dc:creator>
  <cp:lastModifiedBy>Diego Adrian Lopez Valdez</cp:lastModifiedBy>
  <dcterms:created xsi:type="dcterms:W3CDTF">2026-08-31T17:53:17Z</dcterms:created>
  <dcterms:modified xsi:type="dcterms:W3CDTF">2026-09-03T12:20:53Z</dcterms:modified>
</cp:coreProperties>
</file>